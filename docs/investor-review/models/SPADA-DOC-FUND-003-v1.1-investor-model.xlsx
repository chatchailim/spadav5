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อ่านก่อน" sheetId="1" state="visible" r:id="rId3"/>
    <sheet name="สรุป" sheetId="2" state="visible" r:id="rId4"/>
    <sheet name="สมมติฐาน" sheetId="3" state="visible" r:id="rId5"/>
    <sheet name="กระแสเงินสด" sheetId="4" state="visible" r:id="rId6"/>
    <sheet name="การแปลงสภาพ" sheetId="5" state="visible" r:id="rId7"/>
    <sheet name="ความไว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<sst xmlns="http://schemas.openxmlformats.org/spreadsheetml/2006/main" count="195" uniqueCount="186">
  <si>
    <t xml:space="preserve">แบบจำลองการเงิน Angel Round — SPADA / OneManOS</t>
  </si>
  <si>
    <t xml:space="preserve">NextWaver.Net Co., Ltd. · เอกสาร SPADA-DOC-FUND-003 ฉบับ 1.1 (ฉบับนักลงทุน) · วันที่ออก: [ใส่วันที่ส่ง]</t>
  </si>
  <si>
    <t xml:space="preserve">วัตถุประสงค์</t>
  </si>
  <si>
    <t xml:space="preserve">แสดงกระแสเงินสด 24 เดือน ผลของเงื่อนไขเงินกู้แปลงสภาพต่อสัดส่วนหุ้น และความไวต่อสมมติฐานสำคัญ เพื่อให้ผู้ลงทุนทดลองปรับตัวเลขเองได้</t>
  </si>
  <si>
    <t xml:space="preserve">วิธีใช้</t>
  </si>
  <si>
    <t xml:space="preserve">แก้เฉพาะช่องที่เป็นตัวเลขสีน้ำเงินบนพื้นเหลืองในชีต 'สมมติฐาน' เท่านั้น ช่องสีดำเป็นสูตร ช่องสีเขียวเป็นการดึงค่าจากชีตอื่น ทุกชีตล็อกสูตรไว้ (ไม่มีรหัสผ่าน เพื่อป้องกันการพิมพ์ทับโดยไม่ตั้งใจ ไม่ใช่มาตรการความปลอดภัย)</t>
  </si>
  <si>
    <t xml:space="preserve">หน่วย</t>
  </si>
  <si>
    <t xml:space="preserve">จำนวนเงินเป็นบาท อัตราส่วนเป็นร้อยละ เดือนที่ 1 = เดือนที่ได้รับงวดที่ 1</t>
  </si>
  <si>
    <t xml:space="preserve">ชีตในไฟล์</t>
  </si>
  <si>
    <t xml:space="preserve">สรุป · สมมติฐาน · กระแสเงินสด (24 เดือน) · การแปลงสภาพ (ทั้งเพดานแบบ pre-money และ post-money) · ความไว (10 สถานการณ์)</t>
  </si>
  <si>
    <t xml:space="preserve">ข้อจำกัดสำคัญ</t>
  </si>
  <si>
    <t xml:space="preserve">1) ตัวเลขทั้งหมดเป็นสมมติฐานเพื่อการวางแผน ไม่ใช่การรับประกันผลลัพธ์ ไม่ใช่คำเสนอขายหลักทรัพย์ ไม่ใช่คำแนะนำทางการเงินหรือกฎหมาย</t>
  </si>
  <si>
    <t xml:space="preserve">2) ค่า pen-test และฮาร์ดแวร์ต้นแบบเป็นประมาณการ ยังไม่มีใบเสนอราคา ดูผลกระทบในชีต 'ความไว'</t>
  </si>
  <si>
    <t xml:space="preserve">3) ยังไม่มีผู้ใช้จริงและยังไม่มีรายได้ แบบจำลองนี้ไม่มีประมาณการรายได้ เป็นแบบจำลองกระแสเงินสดและการแปลงสภาพเท่านั้น</t>
  </si>
  <si>
    <t xml:space="preserve">4) สัญญาเงินกู้แปลงสภาพต้องร่างโดยทนายไทย ผลคำนวณในไฟล์นี้ใช้นิยามที่ระบุในชีตสมมติฐาน ซึ่งต้องตรงกับสัญญาฉบับจริง</t>
  </si>
  <si>
    <t xml:space="preserve">5) ยังไม่รวมภาษีหัก ณ ที่จ่ายของดอกเบี้ย และค่าธรรมเนียมทางกฎหมายของฝ่ายนักลงทุน</t>
  </si>
  <si>
    <t xml:space="preserve">6) การแปลงสภาพต้องผ่านมติผู้ถือหุ้นและการเพิ่มทุนตามกฎหมายบริษัทจำกัด</t>
  </si>
  <si>
    <t xml:space="preserve">สัญลักษณ์สี</t>
  </si>
  <si>
    <t xml:space="preserve">ตัวเลขสีน้ำเงินบนพื้นเหลือง = ช่องกรอก</t>
  </si>
  <si>
    <t xml:space="preserve">สีดำ = สูตรคำนวณ</t>
  </si>
  <si>
    <t xml:space="preserve">สีเขียว = ดึงค่าจากชีตอื่น</t>
  </si>
  <si>
    <t xml:space="preserve">สรุปสำหรับการเจรจา</t>
  </si>
  <si>
    <t xml:space="preserve">หน้านี้ดึงตัวเลขจากชีตอื่นอัตโนมัติ · ใช้เปิดคู่กับการหารือ</t>
  </si>
  <si>
    <t xml:space="preserve">ตัวเลขหลัก</t>
  </si>
  <si>
    <t xml:space="preserve">เงินที่เสนอทั้งรอบ (บาท)</t>
  </si>
  <si>
    <t xml:space="preserve">งวดที่ 1 (บาท)</t>
  </si>
  <si>
    <t xml:space="preserve">งวดที่ 2 (บาท)</t>
  </si>
  <si>
    <t xml:space="preserve">ค่าใช้จ่ายประจำต่อเดือน (บาท)</t>
  </si>
  <si>
    <t xml:space="preserve">ค่าใช้จ่ายก้อนใหญ่รวม (บาท)</t>
  </si>
  <si>
    <t xml:space="preserve">อยู่ได้กี่เดือน ถ้าปลดงวดที่ 2 (เดือน)</t>
  </si>
  <si>
    <t xml:space="preserve">อยู่ได้กี่เดือน ถ้าได้เฉพาะงวดที่ 1 (เดือน)</t>
  </si>
  <si>
    <t xml:space="preserve">เดือนแรกที่เงินติดลบ (ปลดงวดที่ 2)</t>
  </si>
  <si>
    <t xml:space="preserve">เงินสดสิ้นเดือน 6 ก่อนงวดที่ 2 (บาท)</t>
  </si>
  <si>
    <t xml:space="preserve">เงินที่ต้องเพิ่มเพื่อไม่ติดลบตลอด 18 เดือน (บาท)</t>
  </si>
  <si>
    <t xml:space="preserve">ยอดที่นำไปแปลงสภาพ (เงินต้น + ดอกเบี้ย) (บาท)</t>
  </si>
  <si>
    <t xml:space="preserve">สัดส่วนนักลงทุนหลังแปลงสภาพ (ตามนิยามเพดานที่เลือก)</t>
  </si>
  <si>
    <t xml:space="preserve">สัดส่วนที่ผู้ถือหุ้นเดิมเหลือ</t>
  </si>
  <si>
    <t xml:space="preserve">ข้อไหนมีผลบังคับ (เพดานหรือส่วนลด) ที่มูลค่ารอบถัดไปตามสมมติฐาน</t>
  </si>
  <si>
    <t xml:space="preserve">เงื่อนไขปลดงวดที่ 2 (เขียนลงสัญญา)</t>
  </si>
  <si>
    <t xml:space="preserve">• รายงานการทดสอบเจาะระบบจากผู้ตรวจอิสระที่ระบุชื่อในสัญญาออกแล้ว</t>
  </si>
  <si>
    <t xml:space="preserve">• ช่องโหว่ระดับ Critical และ High ได้รับการแก้ไข พร้อมหนังสือยืนยันผลการทดสอบซ้ำจากผู้ตรวจ</t>
  </si>
  <si>
    <t xml:space="preserve">• มีผู้ใช้จริงอย่างน้อย 10 ราย บนระบบที่เปิดใช้งาน (นิยาม "ผู้ใช้จริง" ระบุในสัญญา)</t>
  </si>
  <si>
    <t xml:space="preserve">• ส่งรายงานความคืบหน้าให้นักลงทุนครบทุกไตรมาส</t>
  </si>
  <si>
    <t xml:space="preserve">• นักลงทุนโอนงวดที่ 2 ภายใน 10 วันทำการหลังผู้ตรวจอิสระออกหนังสือยืนยันเงื่อนไข</t>
  </si>
  <si>
    <t xml:space="preserve">วัดผลทั้งรอบ</t>
  </si>
  <si>
    <t xml:space="preserve">• มีธุรกิจที่จ่ายเงินจริงอย่างน้อย 5 ราย ภายในเดือนที่ 12</t>
  </si>
  <si>
    <t xml:space="preserve">• ถ้าไม่ถึง แปลว่าโมเดลรายได้ผิด ไม่ใช่เงินไม่พอ — และบริษัทจะเปลี่ยนแผน ไม่ใช่ขอเงินเพิ่ม</t>
  </si>
  <si>
    <t xml:space="preserve">แบบจำลองนี้เป็นสมมติฐานเพื่อการวางแผน ไม่ใช่คำแนะนำทางการเงินหรือกฎหมาย ไม่ใช่คำเสนอขายหลักทรัพย์</t>
  </si>
  <si>
    <t xml:space="preserve">สมมติฐาน (ช่องกรอกทั้งหมดอยู่ที่ชีตนี้)</t>
  </si>
  <si>
    <t xml:space="preserve">แก้เฉพาะตัวเลขสีน้ำเงินบนพื้นเหลือง · ทุกจำนวนเงินเป็นบาท · ทุกอัตราส่วนเป็นร้อยละ</t>
  </si>
  <si>
    <t xml:space="preserve">1 · การระดมทุน</t>
  </si>
  <si>
    <t xml:space="preserve">ยอดที่เสนอกับนักลงทุน</t>
  </si>
  <si>
    <t xml:space="preserve">โอนหลังลงนามสัญญา</t>
  </si>
  <si>
    <t xml:space="preserve">ยอดรวมลบงวดที่ 1 · โอนเมื่อผ่านเงื่อนไขปลดงวดที่ 2</t>
  </si>
  <si>
    <t xml:space="preserve">เดือนที่ได้รับงวดที่ 1</t>
  </si>
  <si>
    <t xml:space="preserve">1 = เดือนแรกของแบบจำลอง</t>
  </si>
  <si>
    <t xml:space="preserve">เดือนที่ได้รับงวดที่ 2</t>
  </si>
  <si>
    <t xml:space="preserve">หลังผ่านเงื่อนไขและโอนภายใน 10 วันทำการ (ดูชีตสรุป)</t>
  </si>
  <si>
    <t xml:space="preserve">เงินสดตั้งต้นในบริษัท (บาท)</t>
  </si>
  <si>
    <t xml:space="preserve">ใส่ยอดจริง ณ วันที่ส่งเอกสาร</t>
  </si>
  <si>
    <t xml:space="preserve">2 · ค่าใช้จ่ายประจำเดือน</t>
  </si>
  <si>
    <t xml:space="preserve">ค่าแรงทีม (รวมผู้ก่อตั้ง)</t>
  </si>
  <si>
    <t xml:space="preserve">ต้องตรงกับงบของบริษัท</t>
  </si>
  <si>
    <t xml:space="preserve">ค่าโครงสร้างพื้นฐาน (คลาวด์)</t>
  </si>
  <si>
    <t xml:space="preserve">โหนดไทย + สิงคโปร์ ตามประมาณการ</t>
  </si>
  <si>
    <t xml:space="preserve">ค่าดำเนินการอื่น</t>
  </si>
  <si>
    <t xml:space="preserve">เครื่องมือ ค่าธรรมเนียม เบ็ดเตล็ด</t>
  </si>
  <si>
    <t xml:space="preserve">รวมค่าใช้จ่ายต่อเดือน (บาท)</t>
  </si>
  <si>
    <t xml:space="preserve">อัตราค่าใช้จ่ายเพิ่มขึ้นต่อเดือน</t>
  </si>
  <si>
    <t xml:space="preserve">ใส่ 2% ถ้าคาดว่าจะจ้างเพิ่มระหว่างทาง</t>
  </si>
  <si>
    <t xml:space="preserve">3 · ค่าใช้จ่ายก้อนใหญ่ (จ่ายครั้งเดียว)</t>
  </si>
  <si>
    <t xml:space="preserve">รายการ</t>
  </si>
  <si>
    <t xml:space="preserve">จำนวนเงิน (บาท)</t>
  </si>
  <si>
    <t xml:space="preserve">เดือนที่จ่าย</t>
  </si>
  <si>
    <t xml:space="preserve">หมายเหตุ</t>
  </si>
  <si>
    <t xml:space="preserve">กฎหมาย · โอนสิทธิ์ IP · จดทะเบียน</t>
  </si>
  <si>
    <t xml:space="preserve">ดำเนินการก่อนลงนามสัญญาลงทุน</t>
  </si>
  <si>
    <t xml:space="preserve">Pen-test รอบที่ 1</t>
  </si>
  <si>
    <t xml:space="preserve">ประมาณการ ยังไม่มีใบเสนอราคา ช่วงราคาที่ประเมินไว้ 450,000–900,000 บาท ดูชีตความไว</t>
  </si>
  <si>
    <t xml:space="preserve">Retest หลังแก้ไข</t>
  </si>
  <si>
    <t xml:space="preserve">ต้องเสร็จก่อนปลดงวดที่ 2 (ใช้ยืนยันการแก้ช่องโหว่ Critical/High) ควรรวมในสัญญาผู้ทดสอบตั้งแต่แรก</t>
  </si>
  <si>
    <t xml:space="preserve">ฮาร์ดแวร์ Setbox ชุดต้นแบบ</t>
  </si>
  <si>
    <t xml:space="preserve">2–3 ชุดสำหรับชุมชนนำร่อง ราคายังไม่สรุป รอใบเสนอราคา</t>
  </si>
  <si>
    <t xml:space="preserve">รวมค่าใช้จ่ายก้อนใหญ่ (บาท)</t>
  </si>
  <si>
    <t xml:space="preserve">4 · เงื่อนไขเงินกู้แปลงสภาพ</t>
  </si>
  <si>
    <t xml:space="preserve">จำนวนหุ้นปัจจุบันของบริษัท</t>
  </si>
  <si>
    <t xml:space="preserve">จำนวนหุ้นตัวอย่าง จะแทนด้วยจำนวนหุ้นจริงตาม บอจ.5 · สัดส่วนที่คำนวณไม่ขึ้นกับค่านี้</t>
  </si>
  <si>
    <t xml:space="preserve">เพดานมูลค่า valuation cap (บาท)</t>
  </si>
  <si>
    <t xml:space="preserve">นิยามเพดาน (1 = pre-money, 2 = post-money)</t>
  </si>
  <si>
    <t xml:space="preserve">1: สัดส่วน = ยอดแปลง ÷ (ยอดแปลง + เพดาน) · 2: สัดส่วน = ยอดแปลง ÷ เพดาน (ต้องตรงกับสัญญา)</t>
  </si>
  <si>
    <t xml:space="preserve">ส่วนลดจากราคารอบถัดไป</t>
  </si>
  <si>
    <t xml:space="preserve">ดอกเบี้ยต่อปี (คงที่ สะสม ไม่จ่ายเป็นเงินสด)</t>
  </si>
  <si>
    <t xml:space="preserve">คิดจากวันที่เบิกจริงของแต่ละงวด · ภาษีหัก ณ ที่จ่ายยังไม่รวม</t>
  </si>
  <si>
    <t xml:space="preserve">เดือนที่แปลงสภาพ/ครบอายุสัญญา (นับจากเดือนที่ 1)</t>
  </si>
  <si>
    <t xml:space="preserve">24 = อายุสัญญา 24 เดือน</t>
  </si>
  <si>
    <t xml:space="preserve">มูลค่าก่อนเงินของรอบถัดไป (บาท)</t>
  </si>
  <si>
    <t xml:space="preserve">สมมติฐานเพื่อทดสอบว่าเพดานหรือส่วนลดจะมีผลบังคับ ไม่ใช่การคาดการณ์มูลค่า</t>
  </si>
  <si>
    <t xml:space="preserve">ข้อจำกัดของแบบจำลองนี้</t>
  </si>
  <si>
    <t xml:space="preserve">• ตัวเลขทั้งหมดเป็นสมมติฐานเพื่อการวางแผน ไม่ใช่ใบเสนอราคาหรือคำแนะนำทางการเงิน</t>
  </si>
  <si>
    <t xml:space="preserve">• สัญญาเงินกู้แปลงสภาพในไทยต้องให้ทนายไทยร่าง</t>
  </si>
  <si>
    <t xml:space="preserve">• การแปลงสภาพต้องผ่านมติผู้ถือหุ้นและการเพิ่มทุนตามกฎหมายบริษัทจำกัด</t>
  </si>
  <si>
    <t xml:space="preserve">• ยังไม่รวมภาษีหัก ณ ที่จ่ายของดอกเบี้ย และค่าธรรมเนียมทางกฎหมายของฝ่ายนักลงทุน</t>
  </si>
  <si>
    <t xml:space="preserve">กระแสเงินสด 24 เดือน</t>
  </si>
  <si>
    <t xml:space="preserve">ทุกช่องเป็นสูตร · แก้ค่าได้ที่ชีตสมมติฐานเท่านั้น</t>
  </si>
  <si>
    <t xml:space="preserve">เดือนที่</t>
  </si>
  <si>
    <t xml:space="preserve">เงินสดต้นงวด</t>
  </si>
  <si>
    <t xml:space="preserve">เงินลงทุนเข้า</t>
  </si>
  <si>
    <t xml:space="preserve">ค่าแรง</t>
  </si>
  <si>
    <t xml:space="preserve">คลาวด์</t>
  </si>
  <si>
    <t xml:space="preserve">อื่นๆ</t>
  </si>
  <si>
    <t xml:space="preserve">ก้อนใหญ่</t>
  </si>
  <si>
    <t xml:space="preserve">รวมจ่าย</t>
  </si>
  <si>
    <t xml:space="preserve">เงินสดปลายงวด</t>
  </si>
  <si>
    <t xml:space="preserve">สถานะ</t>
  </si>
  <si>
    <t xml:space="preserve">ตัวช่วย (ติดลบ=1)</t>
  </si>
  <si>
    <t xml:space="preserve">สรุปกระแสเงินสด</t>
  </si>
  <si>
    <t xml:space="preserve">เดือนแรกที่เงินสดติดลบ (0 = ไม่ติดลบใน 24 เดือน)</t>
  </si>
  <si>
    <t xml:space="preserve">จำนวนเดือนที่เงินยังไม่หมด (runway)</t>
  </si>
  <si>
    <t xml:space="preserve">เงินสดต่ำสุดใน 18 เดือนแรก (บาท)</t>
  </si>
  <si>
    <t xml:space="preserve">เงินที่ต้องเพิ่มเพื่อให้ไม่ติดลบตลอด 18 เดือน (บาท)</t>
  </si>
  <si>
    <t xml:space="preserve">เงินสดสิ้นเดือนที่ 6 (ก่อนงวดที่ 2) (บาท)</t>
  </si>
  <si>
    <t xml:space="preserve">การแปลงสภาพเป็นหุ้น และสัดส่วนที่นักลงทุนได้</t>
  </si>
  <si>
    <t xml:space="preserve">แก้เพดาน ส่วนลด ดอกเบี้ย และนิยามเพดานได้ที่ชีตสมมติฐาน แถว 34–39</t>
  </si>
  <si>
    <t xml:space="preserve">ก. ยอดที่จะแปลงสภาพ (ดอกเบี้ยคิดจากวันที่เบิกจริงของแต่ละงวด)</t>
  </si>
  <si>
    <t xml:space="preserve">งวดที่ 1</t>
  </si>
  <si>
    <t xml:space="preserve">งวดที่ 2</t>
  </si>
  <si>
    <t xml:space="preserve">รวม</t>
  </si>
  <si>
    <t xml:space="preserve">เงินต้น (บาท)</t>
  </si>
  <si>
    <t xml:space="preserve">เดือนที่เบิก</t>
  </si>
  <si>
    <t xml:space="preserve">จำนวนเดือนที่ดอกเบี้ยสะสม</t>
  </si>
  <si>
    <t xml:space="preserve">ดอกเบี้ยสะสม (บาท)</t>
  </si>
  <si>
    <t xml:space="preserve">ยอดที่นำไปแปลงเป็นหุ้น (บาท)</t>
  </si>
  <si>
    <t xml:space="preserve">ข. ราคาต่อหุ้น: เพดานกับส่วนลด อันไหนใช้จริง (คิดแบบ pre-money)</t>
  </si>
  <si>
    <t xml:space="preserve">ราคาต่อหุ้นจากเพดานมูลค่า (บาท)</t>
  </si>
  <si>
    <t xml:space="preserve">ราคาต่อหุ้นรอบถัดไป ก่อนส่วนลด (บาท)</t>
  </si>
  <si>
    <t xml:space="preserve">ราคาต่อหุ้นรอบถัดไป หลังส่วนลด (บาท)</t>
  </si>
  <si>
    <t xml:space="preserve">ราคาที่ใช้จริง (ต่ำกว่าชนะ) (บาท)</t>
  </si>
  <si>
    <t xml:space="preserve">ข้อไหนมีผลบังคับ</t>
  </si>
  <si>
    <t xml:space="preserve">ส่วนลดจะมีผลเมื่อมูลค่าก่อนเงินของรอบถัดไปต่ำกว่า (บาท)</t>
  </si>
  <si>
    <t xml:space="preserve">ค. ผลต่อสัดส่วนผู้ถือหุ้น (ตามนิยามเพดานที่เลือกในสมมติฐาน)</t>
  </si>
  <si>
    <t xml:space="preserve">สัดส่วนนักลงทุน ถ้าใช้เพดาน</t>
  </si>
  <si>
    <t xml:space="preserve">สัดส่วนนักลงทุน ถ้าใช้ส่วนลด</t>
  </si>
  <si>
    <t xml:space="preserve">สัดส่วนที่ใช้จริง (ค่าที่ให้นักลงทุนมากกว่า)</t>
  </si>
  <si>
    <t xml:space="preserve">จำนวนหุ้นที่นักลงทุนจะได้</t>
  </si>
  <si>
    <t xml:space="preserve">จำนวนหุ้นเดิม</t>
  </si>
  <si>
    <t xml:space="preserve">จำนวนหุ้นรวมหลังแปลงสภาพ</t>
  </si>
  <si>
    <t xml:space="preserve">ตรวจสอบ: หุ้นที่นักลงทุนได้ ÷ หุ้นรวม (ต้องเท่ากับสัดส่วนที่ใช้จริง)</t>
  </si>
  <si>
    <t xml:space="preserve">ง. ความไวของเพดานมูลค่า (ยอดแปลงตามข้อ ก)</t>
  </si>
  <si>
    <t xml:space="preserve">เพดานมูลค่า (บาท)</t>
  </si>
  <si>
    <t xml:space="preserve">สัดส่วนนักลงทุน ถ้าเพดานเป็น pre-money</t>
  </si>
  <si>
    <t xml:space="preserve">สัดส่วนนักลงทุน ถ้าเพดานเป็น post-money</t>
  </si>
  <si>
    <t xml:space="preserve">เพดาน post-money ที่ให้สัดส่วนเท่ากับ pre-money นี้ (บาท)</t>
  </si>
  <si>
    <t xml:space="preserve">จ. ความไวของดอกเบี้ย (ที่เพดานและนิยามที่เลือก)</t>
  </si>
  <si>
    <t xml:space="preserve">ดอกเบี้ยต่อปี</t>
  </si>
  <si>
    <t xml:space="preserve">ยอดแปลง (บาท)</t>
  </si>
  <si>
    <t xml:space="preserve">สัดส่วนนักลงทุน</t>
  </si>
  <si>
    <t xml:space="preserve">ฉ. ภาระเงินสดถ้าตราสารไม่แปลงสภาพและไม่ต่ออายุ (ณ เดือนที่แปลงสภาพ/ครบอายุ)</t>
  </si>
  <si>
    <t xml:space="preserve">เบิกครบทั้งสองงวด: เงินต้น + ดอกเบี้ย (บาท)</t>
  </si>
  <si>
    <t xml:space="preserve">ได้เฉพาะงวดที่ 1: เงินต้น + ดอกเบี้ย (บาท)</t>
  </si>
  <si>
    <t xml:space="preserve">ความไวของกระแสเงินสดต่อสมมติฐานสำคัญ (10 สถานการณ์)</t>
  </si>
  <si>
    <t xml:space="preserve">แถวแรกดึงค่าจากชีตสมมติฐาน แถวอื่นเปลี่ยนเฉพาะช่องสีน้ำเงิน ที่เหลือเท่ากับแถวฐาน · เงินสดรายเดือนคำนวณด้วยสูตรแบบปิดรูป (ผลเท่ากับชีตกระแสเงินสดในแถวฐาน)</t>
  </si>
  <si>
    <t xml:space="preserve">สถานการณ์</t>
  </si>
  <si>
    <t xml:space="preserve">เดือนที่ได้งวดที่ 2</t>
  </si>
  <si>
    <t xml:space="preserve">Pen-test (บาท)</t>
  </si>
  <si>
    <t xml:space="preserve">ฮาร์ดแวร์ (บาท)</t>
  </si>
  <si>
    <t xml:space="preserve">ค่าใช้จ่ายเพิ่มต่อเดือน</t>
  </si>
  <si>
    <t xml:space="preserve">เดือนแรกที่ติดลบ (0=ไม่ติดลบ)</t>
  </si>
  <si>
    <t xml:space="preserve">runway (เดือน)</t>
  </si>
  <si>
    <t xml:space="preserve">เงินสดสิ้นเดือน 6</t>
  </si>
  <si>
    <t xml:space="preserve">เงินสดสิ้นเดือน 7</t>
  </si>
  <si>
    <t xml:space="preserve">เงินสดสิ้นเดือน 8</t>
  </si>
  <si>
    <t xml:space="preserve">เงินสดต่ำสุด 18 เดือน</t>
  </si>
  <si>
    <t xml:space="preserve">เงินที่ต้องเพิ่มเพื่อครบ 18 เดือน</t>
  </si>
  <si>
    <t xml:space="preserve">ฐาน (ตามสมมติฐาน)</t>
  </si>
  <si>
    <t xml:space="preserve">ได้เฉพาะงวดที่ 1 (ไม่ปลดงวดที่ 2)</t>
  </si>
  <si>
    <t xml:space="preserve">งวดที่ 2 ล่าช้า 1 เดือน</t>
  </si>
  <si>
    <t xml:space="preserve">งวดที่ 2 ล่าช้า 2 เดือน</t>
  </si>
  <si>
    <t xml:space="preserve">Pen-test 700,000</t>
  </si>
  <si>
    <t xml:space="preserve">Pen-test 830,000 (เงินสดเดือน 6 ≈ 0)</t>
  </si>
  <si>
    <t xml:space="preserve">Pen-test 900,000</t>
  </si>
  <si>
    <t xml:space="preserve">ค่าใช้จ่ายเพิ่ม 2% ต่อเดือน</t>
  </si>
  <si>
    <t xml:space="preserve">ฮาร์ดแวร์ 400,000</t>
  </si>
  <si>
    <t xml:space="preserve">Pen-test 900,000 + งวดที่ 2 ล่าช้า 1 เดือน</t>
  </si>
  <si>
    <t xml:space="preserve">หมายเหตุ: ทุกสถานการณ์ใช้ค่าอื่นเท่ากับแถวฐาน (ค่าใช้จ่ายรายเดือน ก้อนใหญ่อื่น เดือนที่จ่าย) · เดือนแรกที่ติดลบ = 0 หมายถึงไม่ติดลบใน 24 เดือน</t>
  </si>
  <si>
    <t xml:space="preserve">เงินสดปลายงวดรายเดือน (บาท)</t>
  </si>
  <si>
    <t xml:space="preserve">ตัวช่วย: ธงเงินสดติดลบ (1 = ติดลบ)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</si>
</sst>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"/>
    <numFmt numFmtId="167" formatCode="0.0%;\(0.0%\);\-"/>
    <numFmt numFmtId="168" formatCode="#,##0"/>
    <numFmt numFmtId="169" formatCode="#,##0.00"/>
    <numFmt numFmtId="170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10"/>
  </cols>
  <sheetData>
    <row r="1" customFormat="false" ht="17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43.5" hidden="false" customHeight="true" outlineLevel="0" collapsed="false">
      <c r="B4" s="3" t="s">
        <v>2</v>
      </c>
      <c r="C4" s="4" t="s">
        <v>3</v>
      </c>
    </row>
    <row r="5" customFormat="false" ht="43.5" hidden="false" customHeight="true" outlineLevel="0" collapsed="false">
      <c r="B5" s="3" t="s">
        <v>4</v>
      </c>
      <c r="C5" s="4" t="s">
        <v>5</v>
      </c>
    </row>
    <row r="6" customFormat="false" ht="30" hidden="false" customHeight="true" outlineLevel="0" collapsed="false">
      <c r="B6" s="3" t="s">
        <v>6</v>
      </c>
      <c r="C6" s="4" t="s">
        <v>7</v>
      </c>
    </row>
    <row r="7" customFormat="false" ht="43.5" hidden="false" customHeight="true" outlineLevel="0" collapsed="false">
      <c r="B7" s="3" t="s">
        <v>8</v>
      </c>
      <c r="C7" s="4" t="s">
        <v>9</v>
      </c>
    </row>
    <row r="8" customFormat="false" ht="43.5" hidden="false" customHeight="true" outlineLevel="0" collapsed="false">
      <c r="B8" s="3" t="s">
        <v>10</v>
      </c>
      <c r="C8" s="4" t="s">
        <v>11</v>
      </c>
    </row>
    <row r="9" customFormat="false" ht="30" hidden="false" customHeight="true" outlineLevel="0" collapsed="false">
      <c r="B9" s="3"/>
      <c r="C9" s="4" t="s">
        <v>12</v>
      </c>
    </row>
    <row r="10" customFormat="false" ht="43.5" hidden="false" customHeight="true" outlineLevel="0" collapsed="false">
      <c r="B10" s="3"/>
      <c r="C10" s="4" t="s">
        <v>13</v>
      </c>
    </row>
    <row r="11" customFormat="false" ht="43.5" hidden="false" customHeight="true" outlineLevel="0" collapsed="false">
      <c r="B11" s="3"/>
      <c r="C11" s="4" t="s">
        <v>14</v>
      </c>
    </row>
    <row r="12" customFormat="false" ht="30" hidden="false" customHeight="true" outlineLevel="0" collapsed="false">
      <c r="B12" s="3"/>
      <c r="C12" s="4" t="s">
        <v>15</v>
      </c>
    </row>
    <row r="13" customFormat="false" ht="30" hidden="false" customHeight="true" outlineLevel="0" collapsed="false">
      <c r="B13" s="3"/>
      <c r="C13" s="4" t="s">
        <v>16</v>
      </c>
    </row>
    <row r="15" customFormat="false" ht="15" hidden="false" customHeight="false" outlineLevel="0" collapsed="false">
      <c r="B15" s="5" t="s">
        <v>17</v>
      </c>
      <c r="C15" s="6" t="s">
        <v>18</v>
      </c>
    </row>
    <row r="16" customFormat="false" ht="15" hidden="false" customHeight="false" outlineLevel="0" collapsed="false">
      <c r="C16" s="7" t="s">
        <v>19</v>
      </c>
    </row>
    <row r="17" customFormat="false" ht="15" hidden="false" customHeight="false" outlineLevel="0" collapsed="false">
      <c r="C17" s="8" t="s">
        <v>20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0"/>
    <col collapsed="false" customWidth="true" hidden="false" outlineLevel="0" max="3" min="3" style="0" width="24"/>
  </cols>
  <sheetData>
    <row r="1" customFormat="false" ht="17.35" hidden="false" customHeight="false" outlineLevel="0" collapsed="false">
      <c r="B1" s="1" t="s">
        <v>21</v>
      </c>
    </row>
    <row r="2" customFormat="false" ht="15" hidden="false" customHeight="false" outlineLevel="0" collapsed="false">
      <c r="B2" s="2" t="s">
        <v>22</v>
      </c>
    </row>
    <row r="4" customFormat="false" ht="15" hidden="false" customHeight="false" outlineLevel="0" collapsed="false">
      <c r="B4" s="9" t="s">
        <v>23</v>
      </c>
      <c r="C4" s="10"/>
      <c r="D4" s="10"/>
    </row>
    <row r="5" customFormat="false" ht="15" hidden="false" customHeight="false" outlineLevel="0" collapsed="false">
      <c r="B5" s="11" t="s">
        <v>24</v>
      </c>
      <c r="C5" s="12" t="n">
        <f aca="false">สมมติฐาน!C10</f>
        <v>3000000</v>
      </c>
    </row>
    <row r="6" customFormat="false" ht="15" hidden="false" customHeight="false" outlineLevel="0" collapsed="false">
      <c r="B6" s="11" t="s">
        <v>25</v>
      </c>
      <c r="C6" s="12" t="n">
        <f aca="false">สมมติฐาน!C11</f>
        <v>2000000</v>
      </c>
    </row>
    <row r="7" customFormat="false" ht="15" hidden="false" customHeight="false" outlineLevel="0" collapsed="false">
      <c r="B7" s="11" t="s">
        <v>26</v>
      </c>
      <c r="C7" s="12" t="n">
        <f aca="false">สมมติฐาน!C12</f>
        <v>1000000</v>
      </c>
    </row>
    <row r="8" customFormat="false" ht="15" hidden="false" customHeight="false" outlineLevel="0" collapsed="false">
      <c r="B8" s="11" t="s">
        <v>27</v>
      </c>
      <c r="C8" s="12" t="n">
        <f aca="false">สมมติฐาน!C21</f>
        <v>150000</v>
      </c>
    </row>
    <row r="9" customFormat="false" ht="15" hidden="false" customHeight="false" outlineLevel="0" collapsed="false">
      <c r="B9" s="11" t="s">
        <v>28</v>
      </c>
      <c r="C9" s="12" t="n">
        <f aca="false">สมมติฐาน!C30</f>
        <v>960000</v>
      </c>
    </row>
    <row r="10" customFormat="false" ht="15" hidden="false" customHeight="false" outlineLevel="0" collapsed="false">
      <c r="B10" s="11" t="s">
        <v>29</v>
      </c>
      <c r="C10" s="13" t="n">
        <f aca="false">กระแสเงินสด!F33</f>
        <v>13</v>
      </c>
    </row>
    <row r="11" customFormat="false" ht="15" hidden="false" customHeight="false" outlineLevel="0" collapsed="false">
      <c r="B11" s="11" t="s">
        <v>30</v>
      </c>
      <c r="C11" s="13" t="n">
        <f aca="false">ความไว!J7</f>
        <v>8</v>
      </c>
    </row>
    <row r="12" customFormat="false" ht="15" hidden="false" customHeight="false" outlineLevel="0" collapsed="false">
      <c r="B12" s="11" t="s">
        <v>31</v>
      </c>
      <c r="C12" s="13" t="n">
        <f aca="false">กระแสเงินสด!F32</f>
        <v>14</v>
      </c>
    </row>
    <row r="13" customFormat="false" ht="15" hidden="false" customHeight="false" outlineLevel="0" collapsed="false">
      <c r="B13" s="11" t="s">
        <v>32</v>
      </c>
      <c r="C13" s="12" t="n">
        <f aca="false">กระแสเงินสด!F36</f>
        <v>380000</v>
      </c>
    </row>
    <row r="14" customFormat="false" ht="15" hidden="false" customHeight="false" outlineLevel="0" collapsed="false">
      <c r="B14" s="11" t="s">
        <v>33</v>
      </c>
      <c r="C14" s="12" t="n">
        <f aca="false">กระแสเงินสด!F35</f>
        <v>660000</v>
      </c>
    </row>
    <row r="15" customFormat="false" ht="15" hidden="false" customHeight="false" outlineLevel="0" collapsed="false">
      <c r="B15" s="11" t="s">
        <v>34</v>
      </c>
      <c r="C15" s="12" t="n">
        <f aca="false">การแปลงสภาพ!E10</f>
        <v>3165000</v>
      </c>
    </row>
    <row r="16" customFormat="false" ht="15" hidden="false" customHeight="false" outlineLevel="0" collapsed="false">
      <c r="B16" s="11" t="s">
        <v>35</v>
      </c>
      <c r="C16" s="14" t="n">
        <f aca="false">การแปลงสภาพ!C23</f>
        <v>0.174236168455822</v>
      </c>
    </row>
    <row r="17" customFormat="false" ht="15" hidden="false" customHeight="false" outlineLevel="0" collapsed="false">
      <c r="B17" s="11" t="s">
        <v>36</v>
      </c>
      <c r="C17" s="14" t="n">
        <f aca="false">การแปลงสภาพ!C27</f>
        <v>0.825763831544178</v>
      </c>
    </row>
    <row r="18" customFormat="false" ht="15" hidden="false" customHeight="false" outlineLevel="0" collapsed="false">
      <c r="B18" s="11" t="s">
        <v>37</v>
      </c>
      <c r="C18" s="15" t="str">
        <f aca="false">การแปลงสภาพ!C17</f>
        <v>เพดานมูลค่า</v>
      </c>
    </row>
    <row r="20" customFormat="false" ht="15" hidden="false" customHeight="false" outlineLevel="0" collapsed="false">
      <c r="B20" s="9" t="s">
        <v>38</v>
      </c>
      <c r="C20" s="10"/>
      <c r="D20" s="10"/>
    </row>
    <row r="21" customFormat="false" ht="15" hidden="false" customHeight="false" outlineLevel="0" collapsed="false">
      <c r="B21" s="7" t="s">
        <v>39</v>
      </c>
    </row>
    <row r="22" customFormat="false" ht="15" hidden="false" customHeight="false" outlineLevel="0" collapsed="false">
      <c r="B22" s="7" t="s">
        <v>40</v>
      </c>
    </row>
    <row r="23" customFormat="false" ht="15" hidden="false" customHeight="false" outlineLevel="0" collapsed="false">
      <c r="B23" s="7" t="s">
        <v>41</v>
      </c>
    </row>
    <row r="24" customFormat="false" ht="15" hidden="false" customHeight="false" outlineLevel="0" collapsed="false">
      <c r="B24" s="7" t="s">
        <v>42</v>
      </c>
    </row>
    <row r="25" customFormat="false" ht="15" hidden="false" customHeight="false" outlineLevel="0" collapsed="false">
      <c r="B25" s="7" t="s">
        <v>43</v>
      </c>
    </row>
    <row r="27" customFormat="false" ht="15" hidden="false" customHeight="false" outlineLevel="0" collapsed="false">
      <c r="B27" s="9" t="s">
        <v>44</v>
      </c>
      <c r="C27" s="10"/>
      <c r="D27" s="10"/>
    </row>
    <row r="28" customFormat="false" ht="15" hidden="false" customHeight="false" outlineLevel="0" collapsed="false">
      <c r="B28" s="7" t="s">
        <v>45</v>
      </c>
    </row>
    <row r="29" customFormat="false" ht="15" hidden="false" customHeight="false" outlineLevel="0" collapsed="false">
      <c r="B29" s="7" t="s">
        <v>46</v>
      </c>
    </row>
    <row r="31" customFormat="false" ht="15" hidden="false" customHeight="false" outlineLevel="0" collapsed="false">
      <c r="B31" s="2" t="s">
        <v>47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80"/>
  </cols>
  <sheetData>
    <row r="1" customFormat="false" ht="17.15" hidden="false" customHeight="false" outlineLevel="0" collapsed="false">
      <c r="B1" s="1" t="s">
        <v>48</v>
      </c>
    </row>
    <row r="2" customFormat="false" ht="15" hidden="false" customHeight="false" outlineLevel="0" collapsed="false">
      <c r="B2" s="2" t="s">
        <v>49</v>
      </c>
    </row>
    <row r="9" customFormat="false" ht="15" hidden="false" customHeight="false" outlineLevel="0" collapsed="false">
      <c r="B9" s="9" t="s">
        <v>50</v>
      </c>
      <c r="C9" s="10"/>
      <c r="D9" s="10"/>
    </row>
    <row r="10" customFormat="false" ht="15" hidden="false" customHeight="false" outlineLevel="0" collapsed="false">
      <c r="B10" s="7" t="s">
        <v>24</v>
      </c>
      <c r="C10" s="16" t="n">
        <v>3000000</v>
      </c>
      <c r="E10" s="4" t="s">
        <v>51</v>
      </c>
    </row>
    <row r="11" customFormat="false" ht="15" hidden="false" customHeight="false" outlineLevel="0" collapsed="false">
      <c r="B11" s="7" t="s">
        <v>25</v>
      </c>
      <c r="C11" s="16" t="n">
        <v>2000000</v>
      </c>
      <c r="E11" s="4" t="s">
        <v>52</v>
      </c>
    </row>
    <row r="12" customFormat="false" ht="15" hidden="false" customHeight="false" outlineLevel="0" collapsed="false">
      <c r="B12" s="7" t="s">
        <v>26</v>
      </c>
      <c r="C12" s="17" t="n">
        <f aca="false">C10-C11</f>
        <v>1000000</v>
      </c>
      <c r="E12" s="4" t="s">
        <v>53</v>
      </c>
    </row>
    <row r="13" customFormat="false" ht="15" hidden="false" customHeight="false" outlineLevel="0" collapsed="false">
      <c r="B13" s="7" t="s">
        <v>54</v>
      </c>
      <c r="C13" s="18" t="n">
        <v>1</v>
      </c>
      <c r="E13" s="7" t="s">
        <v>55</v>
      </c>
    </row>
    <row r="14" customFormat="false" ht="15" hidden="false" customHeight="false" outlineLevel="0" collapsed="false">
      <c r="B14" s="7" t="s">
        <v>56</v>
      </c>
      <c r="C14" s="18" t="n">
        <v>7</v>
      </c>
      <c r="E14" s="7" t="s">
        <v>57</v>
      </c>
    </row>
    <row r="15" customFormat="false" ht="15" hidden="false" customHeight="false" outlineLevel="0" collapsed="false">
      <c r="B15" s="7" t="s">
        <v>58</v>
      </c>
      <c r="C15" s="16" t="n">
        <v>0</v>
      </c>
      <c r="E15" s="7" t="s">
        <v>59</v>
      </c>
    </row>
    <row r="17" customFormat="false" ht="15" hidden="false" customHeight="false" outlineLevel="0" collapsed="false">
      <c r="B17" s="9" t="s">
        <v>60</v>
      </c>
      <c r="C17" s="10"/>
      <c r="D17" s="10"/>
    </row>
    <row r="18" customFormat="false" ht="15" hidden="false" customHeight="false" outlineLevel="0" collapsed="false">
      <c r="B18" s="7" t="s">
        <v>61</v>
      </c>
      <c r="C18" s="16" t="n">
        <v>145000</v>
      </c>
      <c r="E18" s="7" t="s">
        <v>62</v>
      </c>
    </row>
    <row r="19" customFormat="false" ht="15" hidden="false" customHeight="false" outlineLevel="0" collapsed="false">
      <c r="B19" s="7" t="s">
        <v>63</v>
      </c>
      <c r="C19" s="16" t="n">
        <v>3000</v>
      </c>
      <c r="E19" s="7" t="s">
        <v>64</v>
      </c>
    </row>
    <row r="20" customFormat="false" ht="15" hidden="false" customHeight="false" outlineLevel="0" collapsed="false">
      <c r="B20" s="7" t="s">
        <v>65</v>
      </c>
      <c r="C20" s="16" t="n">
        <v>2000</v>
      </c>
      <c r="E20" s="7" t="s">
        <v>66</v>
      </c>
    </row>
    <row r="21" customFormat="false" ht="15" hidden="false" customHeight="false" outlineLevel="0" collapsed="false">
      <c r="B21" s="5" t="s">
        <v>67</v>
      </c>
      <c r="C21" s="19" t="n">
        <f aca="false">SUM(C18:C20)</f>
        <v>150000</v>
      </c>
    </row>
    <row r="22" customFormat="false" ht="15" hidden="false" customHeight="false" outlineLevel="0" collapsed="false">
      <c r="B22" s="7" t="s">
        <v>68</v>
      </c>
      <c r="C22" s="20" t="n">
        <v>0</v>
      </c>
      <c r="E22" s="7" t="s">
        <v>69</v>
      </c>
    </row>
    <row r="24" customFormat="false" ht="15" hidden="false" customHeight="false" outlineLevel="0" collapsed="false">
      <c r="B24" s="9" t="s">
        <v>70</v>
      </c>
      <c r="C24" s="10"/>
      <c r="D24" s="10"/>
    </row>
    <row r="25" customFormat="false" ht="15" hidden="false" customHeight="false" outlineLevel="0" collapsed="false">
      <c r="B25" s="21" t="s">
        <v>71</v>
      </c>
      <c r="C25" s="21" t="s">
        <v>72</v>
      </c>
      <c r="D25" s="21" t="s">
        <v>73</v>
      </c>
      <c r="E25" s="21" t="s">
        <v>74</v>
      </c>
    </row>
    <row r="26" customFormat="false" ht="15" hidden="false" customHeight="false" outlineLevel="0" collapsed="false">
      <c r="B26" s="7" t="s">
        <v>75</v>
      </c>
      <c r="C26" s="16" t="n">
        <v>120000</v>
      </c>
      <c r="D26" s="18" t="n">
        <v>1</v>
      </c>
      <c r="E26" s="4" t="s">
        <v>76</v>
      </c>
    </row>
    <row r="27" customFormat="false" ht="15" hidden="false" customHeight="false" outlineLevel="0" collapsed="false">
      <c r="B27" s="7" t="s">
        <v>77</v>
      </c>
      <c r="C27" s="16" t="n">
        <v>450000</v>
      </c>
      <c r="D27" s="18" t="n">
        <v>2</v>
      </c>
      <c r="E27" s="4" t="s">
        <v>78</v>
      </c>
    </row>
    <row r="28" customFormat="false" ht="15" hidden="false" customHeight="false" outlineLevel="0" collapsed="false">
      <c r="B28" s="7" t="s">
        <v>79</v>
      </c>
      <c r="C28" s="16" t="n">
        <v>150000</v>
      </c>
      <c r="D28" s="18" t="n">
        <v>6</v>
      </c>
      <c r="E28" s="4" t="s">
        <v>80</v>
      </c>
    </row>
    <row r="29" customFormat="false" ht="15" hidden="false" customHeight="false" outlineLevel="0" collapsed="false">
      <c r="B29" s="7" t="s">
        <v>81</v>
      </c>
      <c r="C29" s="16" t="n">
        <v>240000</v>
      </c>
      <c r="D29" s="18" t="n">
        <v>9</v>
      </c>
      <c r="E29" s="4" t="s">
        <v>82</v>
      </c>
    </row>
    <row r="30" customFormat="false" ht="15" hidden="false" customHeight="false" outlineLevel="0" collapsed="false">
      <c r="B30" s="5" t="s">
        <v>83</v>
      </c>
      <c r="C30" s="19" t="n">
        <f aca="false">SUM(C26:C29)</f>
        <v>960000</v>
      </c>
    </row>
    <row r="32" customFormat="false" ht="15" hidden="false" customHeight="false" outlineLevel="0" collapsed="false">
      <c r="B32" s="9" t="s">
        <v>84</v>
      </c>
      <c r="C32" s="10"/>
      <c r="D32" s="10"/>
    </row>
    <row r="33" customFormat="false" ht="15" hidden="false" customHeight="false" outlineLevel="0" collapsed="false">
      <c r="B33" s="7" t="s">
        <v>85</v>
      </c>
      <c r="C33" s="22" t="n">
        <v>100000</v>
      </c>
      <c r="E33" s="23" t="s">
        <v>86</v>
      </c>
    </row>
    <row r="34" customFormat="false" ht="15" hidden="false" customHeight="false" outlineLevel="0" collapsed="false">
      <c r="B34" s="7" t="s">
        <v>87</v>
      </c>
      <c r="C34" s="16" t="n">
        <v>15000000</v>
      </c>
    </row>
    <row r="35" customFormat="false" ht="15" hidden="false" customHeight="false" outlineLevel="0" collapsed="false">
      <c r="B35" s="7" t="s">
        <v>88</v>
      </c>
      <c r="C35" s="18" t="n">
        <v>1</v>
      </c>
      <c r="E35" s="4" t="s">
        <v>89</v>
      </c>
    </row>
    <row r="36" customFormat="false" ht="15" hidden="false" customHeight="false" outlineLevel="0" collapsed="false">
      <c r="B36" s="7" t="s">
        <v>90</v>
      </c>
      <c r="C36" s="20" t="n">
        <v>0.2</v>
      </c>
    </row>
    <row r="37" customFormat="false" ht="15" hidden="false" customHeight="false" outlineLevel="0" collapsed="false">
      <c r="B37" s="7" t="s">
        <v>91</v>
      </c>
      <c r="C37" s="20" t="n">
        <v>0.03</v>
      </c>
      <c r="E37" s="7" t="s">
        <v>92</v>
      </c>
    </row>
    <row r="38" customFormat="false" ht="15" hidden="false" customHeight="false" outlineLevel="0" collapsed="false">
      <c r="B38" s="7" t="s">
        <v>93</v>
      </c>
      <c r="C38" s="18" t="n">
        <v>24</v>
      </c>
      <c r="E38" s="7" t="s">
        <v>94</v>
      </c>
    </row>
    <row r="39" customFormat="false" ht="15" hidden="false" customHeight="false" outlineLevel="0" collapsed="false">
      <c r="B39" s="7" t="s">
        <v>95</v>
      </c>
      <c r="C39" s="16" t="n">
        <v>40000000</v>
      </c>
      <c r="E39" s="4" t="s">
        <v>96</v>
      </c>
    </row>
    <row r="41" customFormat="false" ht="15" hidden="false" customHeight="false" outlineLevel="0" collapsed="false">
      <c r="B41" s="5" t="s">
        <v>97</v>
      </c>
    </row>
    <row r="42" customFormat="false" ht="15" hidden="false" customHeight="false" outlineLevel="0" collapsed="false">
      <c r="B42" s="7" t="s">
        <v>98</v>
      </c>
    </row>
    <row r="43" customFormat="false" ht="15" hidden="false" customHeight="false" outlineLevel="0" collapsed="false">
      <c r="B43" s="7" t="s">
        <v>99</v>
      </c>
    </row>
    <row r="44" customFormat="false" ht="15" hidden="false" customHeight="false" outlineLevel="0" collapsed="false">
      <c r="B44" s="7" t="s">
        <v>100</v>
      </c>
    </row>
    <row r="45" customFormat="false" ht="15" hidden="false" customHeight="false" outlineLevel="0" collapsed="false">
      <c r="B45" s="7" t="s">
        <v>101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17.15" hidden="false" customHeight="false" outlineLevel="0" collapsed="false">
      <c r="B1" s="1" t="s">
        <v>102</v>
      </c>
    </row>
    <row r="2" customFormat="false" ht="15" hidden="false" customHeight="false" outlineLevel="0" collapsed="false">
      <c r="B2" s="2" t="s">
        <v>103</v>
      </c>
    </row>
    <row r="4" customFormat="false" ht="15" hidden="false" customHeight="false" outlineLevel="0" collapsed="false">
      <c r="B4" s="21" t="s">
        <v>104</v>
      </c>
      <c r="C4" s="21" t="s">
        <v>105</v>
      </c>
      <c r="D4" s="21" t="s">
        <v>106</v>
      </c>
      <c r="E4" s="21" t="s">
        <v>107</v>
      </c>
      <c r="F4" s="21" t="s">
        <v>108</v>
      </c>
      <c r="G4" s="21" t="s">
        <v>109</v>
      </c>
      <c r="H4" s="21" t="s">
        <v>110</v>
      </c>
      <c r="I4" s="21" t="s">
        <v>111</v>
      </c>
      <c r="J4" s="21" t="s">
        <v>112</v>
      </c>
      <c r="K4" s="21" t="s">
        <v>113</v>
      </c>
      <c r="L4" s="21" t="s">
        <v>114</v>
      </c>
    </row>
    <row r="5" customFormat="false" ht="15" hidden="false" customHeight="false" outlineLevel="0" collapsed="false">
      <c r="B5" s="24" t="n">
        <v>1</v>
      </c>
      <c r="C5" s="12" t="n">
        <f aca="false">สมมติฐาน!$C$15</f>
        <v>0</v>
      </c>
      <c r="D5" s="12" t="n">
        <f aca="false">IF($B5=สมมติฐาน!$C$13,สมมติฐาน!$C$11,0)+IF($B5=สมมติฐาน!$C$14,สมมติฐาน!$C$12,0)</f>
        <v>2000000</v>
      </c>
      <c r="E5" s="12" t="n">
        <f aca="false">สมมติฐาน!$C$18*(1+สมมติฐาน!$C$22)^($B5-1)</f>
        <v>145000</v>
      </c>
      <c r="F5" s="12" t="n">
        <f aca="false">สมมติฐาน!$C$19*(1+สมมติฐาน!$C$22)^($B5-1)</f>
        <v>3000</v>
      </c>
      <c r="G5" s="12" t="n">
        <f aca="false">สมมติฐาน!$C$20*(1+สมมติฐาน!$C$22)^($B5-1)</f>
        <v>2000</v>
      </c>
      <c r="H5" s="12" t="n">
        <f aca="false">SUMIF(สมมติฐาน!$D$26:$D$29,$B5,สมมติฐาน!$C$26:$C$29)</f>
        <v>120000</v>
      </c>
      <c r="I5" s="25" t="n">
        <f aca="false">SUM(E5:H5)</f>
        <v>270000</v>
      </c>
      <c r="J5" s="26" t="n">
        <f aca="false">C5+D5-I5</f>
        <v>1730000</v>
      </c>
      <c r="K5" s="11" t="str">
        <f aca="false">IF(J5&lt;0,"เงินหมด",IF(J5&lt;สมมติฐาน!$C$21*2,"เหลือน้อย","ปกติ"))</f>
        <v>ปกติ</v>
      </c>
      <c r="L5" s="24" t="n">
        <f aca="false">IF(J5&lt;0,1,0)</f>
        <v>0</v>
      </c>
    </row>
    <row r="6" customFormat="false" ht="15" hidden="false" customHeight="false" outlineLevel="0" collapsed="false">
      <c r="B6" s="24" t="n">
        <v>2</v>
      </c>
      <c r="C6" s="25" t="n">
        <f aca="false">J5</f>
        <v>1730000</v>
      </c>
      <c r="D6" s="12" t="n">
        <f aca="false">IF($B6=สมมติฐาน!$C$13,สมมติฐาน!$C$11,0)+IF($B6=สมมติฐาน!$C$14,สมมติฐาน!$C$12,0)</f>
        <v>0</v>
      </c>
      <c r="E6" s="12" t="n">
        <f aca="false">สมมติฐาน!$C$18*(1+สมมติฐาน!$C$22)^($B6-1)</f>
        <v>145000</v>
      </c>
      <c r="F6" s="12" t="n">
        <f aca="false">สมมติฐาน!$C$19*(1+สมมติฐาน!$C$22)^($B6-1)</f>
        <v>3000</v>
      </c>
      <c r="G6" s="12" t="n">
        <f aca="false">สมมติฐาน!$C$20*(1+สมมติฐาน!$C$22)^($B6-1)</f>
        <v>2000</v>
      </c>
      <c r="H6" s="12" t="n">
        <f aca="false">SUMIF(สมมติฐาน!$D$26:$D$29,$B6,สมมติฐาน!$C$26:$C$29)</f>
        <v>450000</v>
      </c>
      <c r="I6" s="25" t="n">
        <f aca="false">SUM(E6:H6)</f>
        <v>600000</v>
      </c>
      <c r="J6" s="26" t="n">
        <f aca="false">C6+D6-I6</f>
        <v>1130000</v>
      </c>
      <c r="K6" s="11" t="str">
        <f aca="false">IF(J6&lt;0,"เงินหมด",IF(J6&lt;สมมติฐาน!$C$21*2,"เหลือน้อย","ปกติ"))</f>
        <v>ปกติ</v>
      </c>
      <c r="L6" s="24" t="n">
        <f aca="false">IF(J6&lt;0,1,0)</f>
        <v>0</v>
      </c>
    </row>
    <row r="7" customFormat="false" ht="15" hidden="false" customHeight="false" outlineLevel="0" collapsed="false">
      <c r="B7" s="24" t="n">
        <v>3</v>
      </c>
      <c r="C7" s="25" t="n">
        <f aca="false">J6</f>
        <v>1130000</v>
      </c>
      <c r="D7" s="12" t="n">
        <f aca="false">IF($B7=สมมติฐาน!$C$13,สมมติฐาน!$C$11,0)+IF($B7=สมมติฐาน!$C$14,สมมติฐาน!$C$12,0)</f>
        <v>0</v>
      </c>
      <c r="E7" s="12" t="n">
        <f aca="false">สมมติฐาน!$C$18*(1+สมมติฐาน!$C$22)^($B7-1)</f>
        <v>145000</v>
      </c>
      <c r="F7" s="12" t="n">
        <f aca="false">สมมติฐาน!$C$19*(1+สมมติฐาน!$C$22)^($B7-1)</f>
        <v>3000</v>
      </c>
      <c r="G7" s="12" t="n">
        <f aca="false">สมมติฐาน!$C$20*(1+สมมติฐาน!$C$22)^($B7-1)</f>
        <v>2000</v>
      </c>
      <c r="H7" s="12" t="n">
        <f aca="false">SUMIF(สมมติฐาน!$D$26:$D$29,$B7,สมมติฐาน!$C$26:$C$29)</f>
        <v>0</v>
      </c>
      <c r="I7" s="25" t="n">
        <f aca="false">SUM(E7:H7)</f>
        <v>150000</v>
      </c>
      <c r="J7" s="26" t="n">
        <f aca="false">C7+D7-I7</f>
        <v>980000</v>
      </c>
      <c r="K7" s="11" t="str">
        <f aca="false">IF(J7&lt;0,"เงินหมด",IF(J7&lt;สมมติฐาน!$C$21*2,"เหลือน้อย","ปกติ"))</f>
        <v>ปกติ</v>
      </c>
      <c r="L7" s="24" t="n">
        <f aca="false">IF(J7&lt;0,1,0)</f>
        <v>0</v>
      </c>
    </row>
    <row r="8" customFormat="false" ht="15" hidden="false" customHeight="false" outlineLevel="0" collapsed="false">
      <c r="B8" s="24" t="n">
        <v>4</v>
      </c>
      <c r="C8" s="25" t="n">
        <f aca="false">J7</f>
        <v>980000</v>
      </c>
      <c r="D8" s="12" t="n">
        <f aca="false">IF($B8=สมมติฐาน!$C$13,สมมติฐาน!$C$11,0)+IF($B8=สมมติฐาน!$C$14,สมมติฐาน!$C$12,0)</f>
        <v>0</v>
      </c>
      <c r="E8" s="12" t="n">
        <f aca="false">สมมติฐาน!$C$18*(1+สมมติฐาน!$C$22)^($B8-1)</f>
        <v>145000</v>
      </c>
      <c r="F8" s="12" t="n">
        <f aca="false">สมมติฐาน!$C$19*(1+สมมติฐาน!$C$22)^($B8-1)</f>
        <v>3000</v>
      </c>
      <c r="G8" s="12" t="n">
        <f aca="false">สมมติฐาน!$C$20*(1+สมมติฐาน!$C$22)^($B8-1)</f>
        <v>2000</v>
      </c>
      <c r="H8" s="12" t="n">
        <f aca="false">SUMIF(สมมติฐาน!$D$26:$D$29,$B8,สมมติฐาน!$C$26:$C$29)</f>
        <v>0</v>
      </c>
      <c r="I8" s="25" t="n">
        <f aca="false">SUM(E8:H8)</f>
        <v>150000</v>
      </c>
      <c r="J8" s="26" t="n">
        <f aca="false">C8+D8-I8</f>
        <v>830000</v>
      </c>
      <c r="K8" s="11" t="str">
        <f aca="false">IF(J8&lt;0,"เงินหมด",IF(J8&lt;สมมติฐาน!$C$21*2,"เหลือน้อย","ปกติ"))</f>
        <v>ปกติ</v>
      </c>
      <c r="L8" s="24" t="n">
        <f aca="false">IF(J8&lt;0,1,0)</f>
        <v>0</v>
      </c>
    </row>
    <row r="9" customFormat="false" ht="15" hidden="false" customHeight="false" outlineLevel="0" collapsed="false">
      <c r="B9" s="24" t="n">
        <v>5</v>
      </c>
      <c r="C9" s="25" t="n">
        <f aca="false">J8</f>
        <v>830000</v>
      </c>
      <c r="D9" s="12" t="n">
        <f aca="false">IF($B9=สมมติฐาน!$C$13,สมมติฐาน!$C$11,0)+IF($B9=สมมติฐาน!$C$14,สมมติฐาน!$C$12,0)</f>
        <v>0</v>
      </c>
      <c r="E9" s="12" t="n">
        <f aca="false">สมมติฐาน!$C$18*(1+สมมติฐาน!$C$22)^($B9-1)</f>
        <v>145000</v>
      </c>
      <c r="F9" s="12" t="n">
        <f aca="false">สมมติฐาน!$C$19*(1+สมมติฐาน!$C$22)^($B9-1)</f>
        <v>3000</v>
      </c>
      <c r="G9" s="12" t="n">
        <f aca="false">สมมติฐาน!$C$20*(1+สมมติฐาน!$C$22)^($B9-1)</f>
        <v>2000</v>
      </c>
      <c r="H9" s="12" t="n">
        <f aca="false">SUMIF(สมมติฐาน!$D$26:$D$29,$B9,สมมติฐาน!$C$26:$C$29)</f>
        <v>0</v>
      </c>
      <c r="I9" s="25" t="n">
        <f aca="false">SUM(E9:H9)</f>
        <v>150000</v>
      </c>
      <c r="J9" s="26" t="n">
        <f aca="false">C9+D9-I9</f>
        <v>680000</v>
      </c>
      <c r="K9" s="11" t="str">
        <f aca="false">IF(J9&lt;0,"เงินหมด",IF(J9&lt;สมมติฐาน!$C$21*2,"เหลือน้อย","ปกติ"))</f>
        <v>ปกติ</v>
      </c>
      <c r="L9" s="24" t="n">
        <f aca="false">IF(J9&lt;0,1,0)</f>
        <v>0</v>
      </c>
    </row>
    <row r="10" customFormat="false" ht="15" hidden="false" customHeight="false" outlineLevel="0" collapsed="false">
      <c r="B10" s="24" t="n">
        <v>6</v>
      </c>
      <c r="C10" s="25" t="n">
        <f aca="false">J9</f>
        <v>680000</v>
      </c>
      <c r="D10" s="12" t="n">
        <f aca="false">IF($B10=สมมติฐาน!$C$13,สมมติฐาน!$C$11,0)+IF($B10=สมมติฐาน!$C$14,สมมติฐาน!$C$12,0)</f>
        <v>0</v>
      </c>
      <c r="E10" s="12" t="n">
        <f aca="false">สมมติฐาน!$C$18*(1+สมมติฐาน!$C$22)^($B10-1)</f>
        <v>145000</v>
      </c>
      <c r="F10" s="12" t="n">
        <f aca="false">สมมติฐาน!$C$19*(1+สมมติฐาน!$C$22)^($B10-1)</f>
        <v>3000</v>
      </c>
      <c r="G10" s="12" t="n">
        <f aca="false">สมมติฐาน!$C$20*(1+สมมติฐาน!$C$22)^($B10-1)</f>
        <v>2000</v>
      </c>
      <c r="H10" s="12" t="n">
        <f aca="false">SUMIF(สมมติฐาน!$D$26:$D$29,$B10,สมมติฐาน!$C$26:$C$29)</f>
        <v>150000</v>
      </c>
      <c r="I10" s="25" t="n">
        <f aca="false">SUM(E10:H10)</f>
        <v>300000</v>
      </c>
      <c r="J10" s="26" t="n">
        <f aca="false">C10+D10-I10</f>
        <v>380000</v>
      </c>
      <c r="K10" s="11" t="str">
        <f aca="false">IF(J10&lt;0,"เงินหมด",IF(J10&lt;สมมติฐาน!$C$21*2,"เหลือน้อย","ปกติ"))</f>
        <v>ปกติ</v>
      </c>
      <c r="L10" s="24" t="n">
        <f aca="false">IF(J10&lt;0,1,0)</f>
        <v>0</v>
      </c>
    </row>
    <row r="11" customFormat="false" ht="15" hidden="false" customHeight="false" outlineLevel="0" collapsed="false">
      <c r="B11" s="24" t="n">
        <v>7</v>
      </c>
      <c r="C11" s="25" t="n">
        <f aca="false">J10</f>
        <v>380000</v>
      </c>
      <c r="D11" s="12" t="n">
        <f aca="false">IF($B11=สมมติฐาน!$C$13,สมมติฐาน!$C$11,0)+IF($B11=สมมติฐาน!$C$14,สมมติฐาน!$C$12,0)</f>
        <v>1000000</v>
      </c>
      <c r="E11" s="12" t="n">
        <f aca="false">สมมติฐาน!$C$18*(1+สมมติฐาน!$C$22)^($B11-1)</f>
        <v>145000</v>
      </c>
      <c r="F11" s="12" t="n">
        <f aca="false">สมมติฐาน!$C$19*(1+สมมติฐาน!$C$22)^($B11-1)</f>
        <v>3000</v>
      </c>
      <c r="G11" s="12" t="n">
        <f aca="false">สมมติฐาน!$C$20*(1+สมมติฐาน!$C$22)^($B11-1)</f>
        <v>2000</v>
      </c>
      <c r="H11" s="12" t="n">
        <f aca="false">SUMIF(สมมติฐาน!$D$26:$D$29,$B11,สมมติฐาน!$C$26:$C$29)</f>
        <v>0</v>
      </c>
      <c r="I11" s="25" t="n">
        <f aca="false">SUM(E11:H11)</f>
        <v>150000</v>
      </c>
      <c r="J11" s="26" t="n">
        <f aca="false">C11+D11-I11</f>
        <v>1230000</v>
      </c>
      <c r="K11" s="11" t="str">
        <f aca="false">IF(J11&lt;0,"เงินหมด",IF(J11&lt;สมมติฐาน!$C$21*2,"เหลือน้อย","ปกติ"))</f>
        <v>ปกติ</v>
      </c>
      <c r="L11" s="24" t="n">
        <f aca="false">IF(J11&lt;0,1,0)</f>
        <v>0</v>
      </c>
    </row>
    <row r="12" customFormat="false" ht="15" hidden="false" customHeight="false" outlineLevel="0" collapsed="false">
      <c r="B12" s="24" t="n">
        <v>8</v>
      </c>
      <c r="C12" s="25" t="n">
        <f aca="false">J11</f>
        <v>1230000</v>
      </c>
      <c r="D12" s="12" t="n">
        <f aca="false">IF($B12=สมมติฐาน!$C$13,สมมติฐาน!$C$11,0)+IF($B12=สมมติฐาน!$C$14,สมมติฐาน!$C$12,0)</f>
        <v>0</v>
      </c>
      <c r="E12" s="12" t="n">
        <f aca="false">สมมติฐาน!$C$18*(1+สมมติฐาน!$C$22)^($B12-1)</f>
        <v>145000</v>
      </c>
      <c r="F12" s="12" t="n">
        <f aca="false">สมมติฐาน!$C$19*(1+สมมติฐาน!$C$22)^($B12-1)</f>
        <v>3000</v>
      </c>
      <c r="G12" s="12" t="n">
        <f aca="false">สมมติฐาน!$C$20*(1+สมมติฐาน!$C$22)^($B12-1)</f>
        <v>2000</v>
      </c>
      <c r="H12" s="12" t="n">
        <f aca="false">SUMIF(สมมติฐาน!$D$26:$D$29,$B12,สมมติฐาน!$C$26:$C$29)</f>
        <v>0</v>
      </c>
      <c r="I12" s="25" t="n">
        <f aca="false">SUM(E12:H12)</f>
        <v>150000</v>
      </c>
      <c r="J12" s="26" t="n">
        <f aca="false">C12+D12-I12</f>
        <v>1080000</v>
      </c>
      <c r="K12" s="11" t="str">
        <f aca="false">IF(J12&lt;0,"เงินหมด",IF(J12&lt;สมมติฐาน!$C$21*2,"เหลือน้อย","ปกติ"))</f>
        <v>ปกติ</v>
      </c>
      <c r="L12" s="24" t="n">
        <f aca="false">IF(J12&lt;0,1,0)</f>
        <v>0</v>
      </c>
    </row>
    <row r="13" customFormat="false" ht="15" hidden="false" customHeight="false" outlineLevel="0" collapsed="false">
      <c r="B13" s="24" t="n">
        <v>9</v>
      </c>
      <c r="C13" s="25" t="n">
        <f aca="false">J12</f>
        <v>1080000</v>
      </c>
      <c r="D13" s="12" t="n">
        <f aca="false">IF($B13=สมมติฐาน!$C$13,สมมติฐาน!$C$11,0)+IF($B13=สมมติฐาน!$C$14,สมมติฐาน!$C$12,0)</f>
        <v>0</v>
      </c>
      <c r="E13" s="12" t="n">
        <f aca="false">สมมติฐาน!$C$18*(1+สมมติฐาน!$C$22)^($B13-1)</f>
        <v>145000</v>
      </c>
      <c r="F13" s="12" t="n">
        <f aca="false">สมมติฐาน!$C$19*(1+สมมติฐาน!$C$22)^($B13-1)</f>
        <v>3000</v>
      </c>
      <c r="G13" s="12" t="n">
        <f aca="false">สมมติฐาน!$C$20*(1+สมมติฐาน!$C$22)^($B13-1)</f>
        <v>2000</v>
      </c>
      <c r="H13" s="12" t="n">
        <f aca="false">SUMIF(สมมติฐาน!$D$26:$D$29,$B13,สมมติฐาน!$C$26:$C$29)</f>
        <v>240000</v>
      </c>
      <c r="I13" s="25" t="n">
        <f aca="false">SUM(E13:H13)</f>
        <v>390000</v>
      </c>
      <c r="J13" s="26" t="n">
        <f aca="false">C13+D13-I13</f>
        <v>690000</v>
      </c>
      <c r="K13" s="11" t="str">
        <f aca="false">IF(J13&lt;0,"เงินหมด",IF(J13&lt;สมมติฐาน!$C$21*2,"เหลือน้อย","ปกติ"))</f>
        <v>ปกติ</v>
      </c>
      <c r="L13" s="24" t="n">
        <f aca="false">IF(J13&lt;0,1,0)</f>
        <v>0</v>
      </c>
    </row>
    <row r="14" customFormat="false" ht="15" hidden="false" customHeight="false" outlineLevel="0" collapsed="false">
      <c r="B14" s="24" t="n">
        <v>10</v>
      </c>
      <c r="C14" s="25" t="n">
        <f aca="false">J13</f>
        <v>690000</v>
      </c>
      <c r="D14" s="12" t="n">
        <f aca="false">IF($B14=สมมติฐาน!$C$13,สมมติฐาน!$C$11,0)+IF($B14=สมมติฐาน!$C$14,สมมติฐาน!$C$12,0)</f>
        <v>0</v>
      </c>
      <c r="E14" s="12" t="n">
        <f aca="false">สมมติฐาน!$C$18*(1+สมมติฐาน!$C$22)^($B14-1)</f>
        <v>145000</v>
      </c>
      <c r="F14" s="12" t="n">
        <f aca="false">สมมติฐาน!$C$19*(1+สมมติฐาน!$C$22)^($B14-1)</f>
        <v>3000</v>
      </c>
      <c r="G14" s="12" t="n">
        <f aca="false">สมมติฐาน!$C$20*(1+สมมติฐาน!$C$22)^($B14-1)</f>
        <v>2000</v>
      </c>
      <c r="H14" s="12" t="n">
        <f aca="false">SUMIF(สมมติฐาน!$D$26:$D$29,$B14,สมมติฐาน!$C$26:$C$29)</f>
        <v>0</v>
      </c>
      <c r="I14" s="25" t="n">
        <f aca="false">SUM(E14:H14)</f>
        <v>150000</v>
      </c>
      <c r="J14" s="26" t="n">
        <f aca="false">C14+D14-I14</f>
        <v>540000</v>
      </c>
      <c r="K14" s="11" t="str">
        <f aca="false">IF(J14&lt;0,"เงินหมด",IF(J14&lt;สมมติฐาน!$C$21*2,"เหลือน้อย","ปกติ"))</f>
        <v>ปกติ</v>
      </c>
      <c r="L14" s="24" t="n">
        <f aca="false">IF(J14&lt;0,1,0)</f>
        <v>0</v>
      </c>
    </row>
    <row r="15" customFormat="false" ht="15" hidden="false" customHeight="false" outlineLevel="0" collapsed="false">
      <c r="B15" s="24" t="n">
        <v>11</v>
      </c>
      <c r="C15" s="25" t="n">
        <f aca="false">J14</f>
        <v>540000</v>
      </c>
      <c r="D15" s="12" t="n">
        <f aca="false">IF($B15=สมมติฐาน!$C$13,สมมติฐาน!$C$11,0)+IF($B15=สมมติฐาน!$C$14,สมมติฐาน!$C$12,0)</f>
        <v>0</v>
      </c>
      <c r="E15" s="12" t="n">
        <f aca="false">สมมติฐาน!$C$18*(1+สมมติฐาน!$C$22)^($B15-1)</f>
        <v>145000</v>
      </c>
      <c r="F15" s="12" t="n">
        <f aca="false">สมมติฐาน!$C$19*(1+สมมติฐาน!$C$22)^($B15-1)</f>
        <v>3000</v>
      </c>
      <c r="G15" s="12" t="n">
        <f aca="false">สมมติฐาน!$C$20*(1+สมมติฐาน!$C$22)^($B15-1)</f>
        <v>2000</v>
      </c>
      <c r="H15" s="12" t="n">
        <f aca="false">SUMIF(สมมติฐาน!$D$26:$D$29,$B15,สมมติฐาน!$C$26:$C$29)</f>
        <v>0</v>
      </c>
      <c r="I15" s="25" t="n">
        <f aca="false">SUM(E15:H15)</f>
        <v>150000</v>
      </c>
      <c r="J15" s="26" t="n">
        <f aca="false">C15+D15-I15</f>
        <v>390000</v>
      </c>
      <c r="K15" s="11" t="str">
        <f aca="false">IF(J15&lt;0,"เงินหมด",IF(J15&lt;สมมติฐาน!$C$21*2,"เหลือน้อย","ปกติ"))</f>
        <v>ปกติ</v>
      </c>
      <c r="L15" s="24" t="n">
        <f aca="false">IF(J15&lt;0,1,0)</f>
        <v>0</v>
      </c>
    </row>
    <row r="16" customFormat="false" ht="15" hidden="false" customHeight="false" outlineLevel="0" collapsed="false">
      <c r="B16" s="24" t="n">
        <v>12</v>
      </c>
      <c r="C16" s="25" t="n">
        <f aca="false">J15</f>
        <v>390000</v>
      </c>
      <c r="D16" s="12" t="n">
        <f aca="false">IF($B16=สมมติฐาน!$C$13,สมมติฐาน!$C$11,0)+IF($B16=สมมติฐาน!$C$14,สมมติฐาน!$C$12,0)</f>
        <v>0</v>
      </c>
      <c r="E16" s="12" t="n">
        <f aca="false">สมมติฐาน!$C$18*(1+สมมติฐาน!$C$22)^($B16-1)</f>
        <v>145000</v>
      </c>
      <c r="F16" s="12" t="n">
        <f aca="false">สมมติฐาน!$C$19*(1+สมมติฐาน!$C$22)^($B16-1)</f>
        <v>3000</v>
      </c>
      <c r="G16" s="12" t="n">
        <f aca="false">สมมติฐาน!$C$20*(1+สมมติฐาน!$C$22)^($B16-1)</f>
        <v>2000</v>
      </c>
      <c r="H16" s="12" t="n">
        <f aca="false">SUMIF(สมมติฐาน!$D$26:$D$29,$B16,สมมติฐาน!$C$26:$C$29)</f>
        <v>0</v>
      </c>
      <c r="I16" s="25" t="n">
        <f aca="false">SUM(E16:H16)</f>
        <v>150000</v>
      </c>
      <c r="J16" s="26" t="n">
        <f aca="false">C16+D16-I16</f>
        <v>240000</v>
      </c>
      <c r="K16" s="11" t="str">
        <f aca="false">IF(J16&lt;0,"เงินหมด",IF(J16&lt;สมมติฐาน!$C$21*2,"เหลือน้อย","ปกติ"))</f>
        <v>เหลือน้อย</v>
      </c>
      <c r="L16" s="24" t="n">
        <f aca="false">IF(J16&lt;0,1,0)</f>
        <v>0</v>
      </c>
    </row>
    <row r="17" customFormat="false" ht="15" hidden="false" customHeight="false" outlineLevel="0" collapsed="false">
      <c r="B17" s="24" t="n">
        <v>13</v>
      </c>
      <c r="C17" s="25" t="n">
        <f aca="false">J16</f>
        <v>240000</v>
      </c>
      <c r="D17" s="12" t="n">
        <f aca="false">IF($B17=สมมติฐาน!$C$13,สมมติฐาน!$C$11,0)+IF($B17=สมมติฐาน!$C$14,สมมติฐาน!$C$12,0)</f>
        <v>0</v>
      </c>
      <c r="E17" s="12" t="n">
        <f aca="false">สมมติฐาน!$C$18*(1+สมมติฐาน!$C$22)^($B17-1)</f>
        <v>145000</v>
      </c>
      <c r="F17" s="12" t="n">
        <f aca="false">สมมติฐาน!$C$19*(1+สมมติฐาน!$C$22)^($B17-1)</f>
        <v>3000</v>
      </c>
      <c r="G17" s="12" t="n">
        <f aca="false">สมมติฐาน!$C$20*(1+สมมติฐาน!$C$22)^($B17-1)</f>
        <v>2000</v>
      </c>
      <c r="H17" s="12" t="n">
        <f aca="false">SUMIF(สมมติฐาน!$D$26:$D$29,$B17,สมมติฐาน!$C$26:$C$29)</f>
        <v>0</v>
      </c>
      <c r="I17" s="25" t="n">
        <f aca="false">SUM(E17:H17)</f>
        <v>150000</v>
      </c>
      <c r="J17" s="26" t="n">
        <f aca="false">C17+D17-I17</f>
        <v>90000</v>
      </c>
      <c r="K17" s="11" t="str">
        <f aca="false">IF(J17&lt;0,"เงินหมด",IF(J17&lt;สมมติฐาน!$C$21*2,"เหลือน้อย","ปกติ"))</f>
        <v>เหลือน้อย</v>
      </c>
      <c r="L17" s="24" t="n">
        <f aca="false">IF(J17&lt;0,1,0)</f>
        <v>0</v>
      </c>
    </row>
    <row r="18" customFormat="false" ht="15" hidden="false" customHeight="false" outlineLevel="0" collapsed="false">
      <c r="B18" s="24" t="n">
        <v>14</v>
      </c>
      <c r="C18" s="25" t="n">
        <f aca="false">J17</f>
        <v>90000</v>
      </c>
      <c r="D18" s="12" t="n">
        <f aca="false">IF($B18=สมมติฐาน!$C$13,สมมติฐาน!$C$11,0)+IF($B18=สมมติฐาน!$C$14,สมมติฐาน!$C$12,0)</f>
        <v>0</v>
      </c>
      <c r="E18" s="12" t="n">
        <f aca="false">สมมติฐาน!$C$18*(1+สมมติฐาน!$C$22)^($B18-1)</f>
        <v>145000</v>
      </c>
      <c r="F18" s="12" t="n">
        <f aca="false">สมมติฐาน!$C$19*(1+สมมติฐาน!$C$22)^($B18-1)</f>
        <v>3000</v>
      </c>
      <c r="G18" s="12" t="n">
        <f aca="false">สมมติฐาน!$C$20*(1+สมมติฐาน!$C$22)^($B18-1)</f>
        <v>2000</v>
      </c>
      <c r="H18" s="12" t="n">
        <f aca="false">SUMIF(สมมติฐาน!$D$26:$D$29,$B18,สมมติฐาน!$C$26:$C$29)</f>
        <v>0</v>
      </c>
      <c r="I18" s="25" t="n">
        <f aca="false">SUM(E18:H18)</f>
        <v>150000</v>
      </c>
      <c r="J18" s="26" t="n">
        <f aca="false">C18+D18-I18</f>
        <v>-60000</v>
      </c>
      <c r="K18" s="11" t="str">
        <f aca="false">IF(J18&lt;0,"เงินหมด",IF(J18&lt;สมมติฐาน!$C$21*2,"เหลือน้อย","ปกติ"))</f>
        <v>เงินหมด</v>
      </c>
      <c r="L18" s="24" t="n">
        <f aca="false">IF(J18&lt;0,1,0)</f>
        <v>1</v>
      </c>
    </row>
    <row r="19" customFormat="false" ht="15" hidden="false" customHeight="false" outlineLevel="0" collapsed="false">
      <c r="B19" s="24" t="n">
        <v>15</v>
      </c>
      <c r="C19" s="25" t="n">
        <f aca="false">J18</f>
        <v>-60000</v>
      </c>
      <c r="D19" s="12" t="n">
        <f aca="false">IF($B19=สมมติฐาน!$C$13,สมมติฐาน!$C$11,0)+IF($B19=สมมติฐาน!$C$14,สมมติฐาน!$C$12,0)</f>
        <v>0</v>
      </c>
      <c r="E19" s="12" t="n">
        <f aca="false">สมมติฐาน!$C$18*(1+สมมติฐาน!$C$22)^($B19-1)</f>
        <v>145000</v>
      </c>
      <c r="F19" s="12" t="n">
        <f aca="false">สมมติฐาน!$C$19*(1+สมมติฐาน!$C$22)^($B19-1)</f>
        <v>3000</v>
      </c>
      <c r="G19" s="12" t="n">
        <f aca="false">สมมติฐาน!$C$20*(1+สมมติฐาน!$C$22)^($B19-1)</f>
        <v>2000</v>
      </c>
      <c r="H19" s="12" t="n">
        <f aca="false">SUMIF(สมมติฐาน!$D$26:$D$29,$B19,สมมติฐาน!$C$26:$C$29)</f>
        <v>0</v>
      </c>
      <c r="I19" s="25" t="n">
        <f aca="false">SUM(E19:H19)</f>
        <v>150000</v>
      </c>
      <c r="J19" s="26" t="n">
        <f aca="false">C19+D19-I19</f>
        <v>-210000</v>
      </c>
      <c r="K19" s="11" t="str">
        <f aca="false">IF(J19&lt;0,"เงินหมด",IF(J19&lt;สมมติฐาน!$C$21*2,"เหลือน้อย","ปกติ"))</f>
        <v>เงินหมด</v>
      </c>
      <c r="L19" s="24" t="n">
        <f aca="false">IF(J19&lt;0,1,0)</f>
        <v>1</v>
      </c>
    </row>
    <row r="20" customFormat="false" ht="15" hidden="false" customHeight="false" outlineLevel="0" collapsed="false">
      <c r="B20" s="24" t="n">
        <v>16</v>
      </c>
      <c r="C20" s="25" t="n">
        <f aca="false">J19</f>
        <v>-210000</v>
      </c>
      <c r="D20" s="12" t="n">
        <f aca="false">IF($B20=สมมติฐาน!$C$13,สมมติฐาน!$C$11,0)+IF($B20=สมมติฐาน!$C$14,สมมติฐาน!$C$12,0)</f>
        <v>0</v>
      </c>
      <c r="E20" s="12" t="n">
        <f aca="false">สมมติฐาน!$C$18*(1+สมมติฐาน!$C$22)^($B20-1)</f>
        <v>145000</v>
      </c>
      <c r="F20" s="12" t="n">
        <f aca="false">สมมติฐาน!$C$19*(1+สมมติฐาน!$C$22)^($B20-1)</f>
        <v>3000</v>
      </c>
      <c r="G20" s="12" t="n">
        <f aca="false">สมมติฐาน!$C$20*(1+สมมติฐาน!$C$22)^($B20-1)</f>
        <v>2000</v>
      </c>
      <c r="H20" s="12" t="n">
        <f aca="false">SUMIF(สมมติฐาน!$D$26:$D$29,$B20,สมมติฐาน!$C$26:$C$29)</f>
        <v>0</v>
      </c>
      <c r="I20" s="25" t="n">
        <f aca="false">SUM(E20:H20)</f>
        <v>150000</v>
      </c>
      <c r="J20" s="26" t="n">
        <f aca="false">C20+D20-I20</f>
        <v>-360000</v>
      </c>
      <c r="K20" s="11" t="str">
        <f aca="false">IF(J20&lt;0,"เงินหมด",IF(J20&lt;สมมติฐาน!$C$21*2,"เหลือน้อย","ปกติ"))</f>
        <v>เงินหมด</v>
      </c>
      <c r="L20" s="24" t="n">
        <f aca="false">IF(J20&lt;0,1,0)</f>
        <v>1</v>
      </c>
    </row>
    <row r="21" customFormat="false" ht="15" hidden="false" customHeight="false" outlineLevel="0" collapsed="false">
      <c r="B21" s="24" t="n">
        <v>17</v>
      </c>
      <c r="C21" s="25" t="n">
        <f aca="false">J20</f>
        <v>-360000</v>
      </c>
      <c r="D21" s="12" t="n">
        <f aca="false">IF($B21=สมมติฐาน!$C$13,สมมติฐาน!$C$11,0)+IF($B21=สมมติฐาน!$C$14,สมมติฐาน!$C$12,0)</f>
        <v>0</v>
      </c>
      <c r="E21" s="12" t="n">
        <f aca="false">สมมติฐาน!$C$18*(1+สมมติฐาน!$C$22)^($B21-1)</f>
        <v>145000</v>
      </c>
      <c r="F21" s="12" t="n">
        <f aca="false">สมมติฐาน!$C$19*(1+สมมติฐาน!$C$22)^($B21-1)</f>
        <v>3000</v>
      </c>
      <c r="G21" s="12" t="n">
        <f aca="false">สมมติฐาน!$C$20*(1+สมมติฐาน!$C$22)^($B21-1)</f>
        <v>2000</v>
      </c>
      <c r="H21" s="12" t="n">
        <f aca="false">SUMIF(สมมติฐาน!$D$26:$D$29,$B21,สมมติฐาน!$C$26:$C$29)</f>
        <v>0</v>
      </c>
      <c r="I21" s="25" t="n">
        <f aca="false">SUM(E21:H21)</f>
        <v>150000</v>
      </c>
      <c r="J21" s="26" t="n">
        <f aca="false">C21+D21-I21</f>
        <v>-510000</v>
      </c>
      <c r="K21" s="11" t="str">
        <f aca="false">IF(J21&lt;0,"เงินหมด",IF(J21&lt;สมมติฐาน!$C$21*2,"เหลือน้อย","ปกติ"))</f>
        <v>เงินหมด</v>
      </c>
      <c r="L21" s="24" t="n">
        <f aca="false">IF(J21&lt;0,1,0)</f>
        <v>1</v>
      </c>
    </row>
    <row r="22" customFormat="false" ht="15" hidden="false" customHeight="false" outlineLevel="0" collapsed="false">
      <c r="B22" s="24" t="n">
        <v>18</v>
      </c>
      <c r="C22" s="25" t="n">
        <f aca="false">J21</f>
        <v>-510000</v>
      </c>
      <c r="D22" s="12" t="n">
        <f aca="false">IF($B22=สมมติฐาน!$C$13,สมมติฐาน!$C$11,0)+IF($B22=สมมติฐาน!$C$14,สมมติฐาน!$C$12,0)</f>
        <v>0</v>
      </c>
      <c r="E22" s="12" t="n">
        <f aca="false">สมมติฐาน!$C$18*(1+สมมติฐาน!$C$22)^($B22-1)</f>
        <v>145000</v>
      </c>
      <c r="F22" s="12" t="n">
        <f aca="false">สมมติฐาน!$C$19*(1+สมมติฐาน!$C$22)^($B22-1)</f>
        <v>3000</v>
      </c>
      <c r="G22" s="12" t="n">
        <f aca="false">สมมติฐาน!$C$20*(1+สมมติฐาน!$C$22)^($B22-1)</f>
        <v>2000</v>
      </c>
      <c r="H22" s="12" t="n">
        <f aca="false">SUMIF(สมมติฐาน!$D$26:$D$29,$B22,สมมติฐาน!$C$26:$C$29)</f>
        <v>0</v>
      </c>
      <c r="I22" s="25" t="n">
        <f aca="false">SUM(E22:H22)</f>
        <v>150000</v>
      </c>
      <c r="J22" s="26" t="n">
        <f aca="false">C22+D22-I22</f>
        <v>-660000</v>
      </c>
      <c r="K22" s="11" t="str">
        <f aca="false">IF(J22&lt;0,"เงินหมด",IF(J22&lt;สมมติฐาน!$C$21*2,"เหลือน้อย","ปกติ"))</f>
        <v>เงินหมด</v>
      </c>
      <c r="L22" s="24" t="n">
        <f aca="false">IF(J22&lt;0,1,0)</f>
        <v>1</v>
      </c>
    </row>
    <row r="23" customFormat="false" ht="15" hidden="false" customHeight="false" outlineLevel="0" collapsed="false">
      <c r="B23" s="24" t="n">
        <v>19</v>
      </c>
      <c r="C23" s="25" t="n">
        <f aca="false">J22</f>
        <v>-660000</v>
      </c>
      <c r="D23" s="12" t="n">
        <f aca="false">IF($B23=สมมติฐาน!$C$13,สมมติฐาน!$C$11,0)+IF($B23=สมมติฐาน!$C$14,สมมติฐาน!$C$12,0)</f>
        <v>0</v>
      </c>
      <c r="E23" s="12" t="n">
        <f aca="false">สมมติฐาน!$C$18*(1+สมมติฐาน!$C$22)^($B23-1)</f>
        <v>145000</v>
      </c>
      <c r="F23" s="12" t="n">
        <f aca="false">สมมติฐาน!$C$19*(1+สมมติฐาน!$C$22)^($B23-1)</f>
        <v>3000</v>
      </c>
      <c r="G23" s="12" t="n">
        <f aca="false">สมมติฐาน!$C$20*(1+สมมติฐาน!$C$22)^($B23-1)</f>
        <v>2000</v>
      </c>
      <c r="H23" s="12" t="n">
        <f aca="false">SUMIF(สมมติฐาน!$D$26:$D$29,$B23,สมมติฐาน!$C$26:$C$29)</f>
        <v>0</v>
      </c>
      <c r="I23" s="25" t="n">
        <f aca="false">SUM(E23:H23)</f>
        <v>150000</v>
      </c>
      <c r="J23" s="26" t="n">
        <f aca="false">C23+D23-I23</f>
        <v>-810000</v>
      </c>
      <c r="K23" s="11" t="str">
        <f aca="false">IF(J23&lt;0,"เงินหมด",IF(J23&lt;สมมติฐาน!$C$21*2,"เหลือน้อย","ปกติ"))</f>
        <v>เงินหมด</v>
      </c>
      <c r="L23" s="24" t="n">
        <f aca="false">IF(J23&lt;0,1,0)</f>
        <v>1</v>
      </c>
    </row>
    <row r="24" customFormat="false" ht="15" hidden="false" customHeight="false" outlineLevel="0" collapsed="false">
      <c r="B24" s="24" t="n">
        <v>20</v>
      </c>
      <c r="C24" s="25" t="n">
        <f aca="false">J23</f>
        <v>-810000</v>
      </c>
      <c r="D24" s="12" t="n">
        <f aca="false">IF($B24=สมมติฐาน!$C$13,สมมติฐาน!$C$11,0)+IF($B24=สมมติฐาน!$C$14,สมมติฐาน!$C$12,0)</f>
        <v>0</v>
      </c>
      <c r="E24" s="12" t="n">
        <f aca="false">สมมติฐาน!$C$18*(1+สมมติฐาน!$C$22)^($B24-1)</f>
        <v>145000</v>
      </c>
      <c r="F24" s="12" t="n">
        <f aca="false">สมมติฐาน!$C$19*(1+สมมติฐาน!$C$22)^($B24-1)</f>
        <v>3000</v>
      </c>
      <c r="G24" s="12" t="n">
        <f aca="false">สมมติฐาน!$C$20*(1+สมมติฐาน!$C$22)^($B24-1)</f>
        <v>2000</v>
      </c>
      <c r="H24" s="12" t="n">
        <f aca="false">SUMIF(สมมติฐาน!$D$26:$D$29,$B24,สมมติฐาน!$C$26:$C$29)</f>
        <v>0</v>
      </c>
      <c r="I24" s="25" t="n">
        <f aca="false">SUM(E24:H24)</f>
        <v>150000</v>
      </c>
      <c r="J24" s="26" t="n">
        <f aca="false">C24+D24-I24</f>
        <v>-960000</v>
      </c>
      <c r="K24" s="11" t="str">
        <f aca="false">IF(J24&lt;0,"เงินหมด",IF(J24&lt;สมมติฐาน!$C$21*2,"เหลือน้อย","ปกติ"))</f>
        <v>เงินหมด</v>
      </c>
      <c r="L24" s="24" t="n">
        <f aca="false">IF(J24&lt;0,1,0)</f>
        <v>1</v>
      </c>
    </row>
    <row r="25" customFormat="false" ht="15" hidden="false" customHeight="false" outlineLevel="0" collapsed="false">
      <c r="B25" s="24" t="n">
        <v>21</v>
      </c>
      <c r="C25" s="25" t="n">
        <f aca="false">J24</f>
        <v>-960000</v>
      </c>
      <c r="D25" s="12" t="n">
        <f aca="false">IF($B25=สมมติฐาน!$C$13,สมมติฐาน!$C$11,0)+IF($B25=สมมติฐาน!$C$14,สมมติฐาน!$C$12,0)</f>
        <v>0</v>
      </c>
      <c r="E25" s="12" t="n">
        <f aca="false">สมมติฐาน!$C$18*(1+สมมติฐาน!$C$22)^($B25-1)</f>
        <v>145000</v>
      </c>
      <c r="F25" s="12" t="n">
        <f aca="false">สมมติฐาน!$C$19*(1+สมมติฐาน!$C$22)^($B25-1)</f>
        <v>3000</v>
      </c>
      <c r="G25" s="12" t="n">
        <f aca="false">สมมติฐาน!$C$20*(1+สมมติฐาน!$C$22)^($B25-1)</f>
        <v>2000</v>
      </c>
      <c r="H25" s="12" t="n">
        <f aca="false">SUMIF(สมมติฐาน!$D$26:$D$29,$B25,สมมติฐาน!$C$26:$C$29)</f>
        <v>0</v>
      </c>
      <c r="I25" s="25" t="n">
        <f aca="false">SUM(E25:H25)</f>
        <v>150000</v>
      </c>
      <c r="J25" s="26" t="n">
        <f aca="false">C25+D25-I25</f>
        <v>-1110000</v>
      </c>
      <c r="K25" s="11" t="str">
        <f aca="false">IF(J25&lt;0,"เงินหมด",IF(J25&lt;สมมติฐาน!$C$21*2,"เหลือน้อย","ปกติ"))</f>
        <v>เงินหมด</v>
      </c>
      <c r="L25" s="24" t="n">
        <f aca="false">IF(J25&lt;0,1,0)</f>
        <v>1</v>
      </c>
    </row>
    <row r="26" customFormat="false" ht="15" hidden="false" customHeight="false" outlineLevel="0" collapsed="false">
      <c r="B26" s="24" t="n">
        <v>22</v>
      </c>
      <c r="C26" s="25" t="n">
        <f aca="false">J25</f>
        <v>-1110000</v>
      </c>
      <c r="D26" s="12" t="n">
        <f aca="false">IF($B26=สมมติฐาน!$C$13,สมมติฐาน!$C$11,0)+IF($B26=สมมติฐาน!$C$14,สมมติฐาน!$C$12,0)</f>
        <v>0</v>
      </c>
      <c r="E26" s="12" t="n">
        <f aca="false">สมมติฐาน!$C$18*(1+สมมติฐาน!$C$22)^($B26-1)</f>
        <v>145000</v>
      </c>
      <c r="F26" s="12" t="n">
        <f aca="false">สมมติฐาน!$C$19*(1+สมมติฐาน!$C$22)^($B26-1)</f>
        <v>3000</v>
      </c>
      <c r="G26" s="12" t="n">
        <f aca="false">สมมติฐาน!$C$20*(1+สมมติฐาน!$C$22)^($B26-1)</f>
        <v>2000</v>
      </c>
      <c r="H26" s="12" t="n">
        <f aca="false">SUMIF(สมมติฐาน!$D$26:$D$29,$B26,สมมติฐาน!$C$26:$C$29)</f>
        <v>0</v>
      </c>
      <c r="I26" s="25" t="n">
        <f aca="false">SUM(E26:H26)</f>
        <v>150000</v>
      </c>
      <c r="J26" s="26" t="n">
        <f aca="false">C26+D26-I26</f>
        <v>-1260000</v>
      </c>
      <c r="K26" s="11" t="str">
        <f aca="false">IF(J26&lt;0,"เงินหมด",IF(J26&lt;สมมติฐาน!$C$21*2,"เหลือน้อย","ปกติ"))</f>
        <v>เงินหมด</v>
      </c>
      <c r="L26" s="24" t="n">
        <f aca="false">IF(J26&lt;0,1,0)</f>
        <v>1</v>
      </c>
    </row>
    <row r="27" customFormat="false" ht="15" hidden="false" customHeight="false" outlineLevel="0" collapsed="false">
      <c r="B27" s="24" t="n">
        <v>23</v>
      </c>
      <c r="C27" s="25" t="n">
        <f aca="false">J26</f>
        <v>-1260000</v>
      </c>
      <c r="D27" s="12" t="n">
        <f aca="false">IF($B27=สมมติฐาน!$C$13,สมมติฐาน!$C$11,0)+IF($B27=สมมติฐาน!$C$14,สมมติฐาน!$C$12,0)</f>
        <v>0</v>
      </c>
      <c r="E27" s="12" t="n">
        <f aca="false">สมมติฐาน!$C$18*(1+สมมติฐาน!$C$22)^($B27-1)</f>
        <v>145000</v>
      </c>
      <c r="F27" s="12" t="n">
        <f aca="false">สมมติฐาน!$C$19*(1+สมมติฐาน!$C$22)^($B27-1)</f>
        <v>3000</v>
      </c>
      <c r="G27" s="12" t="n">
        <f aca="false">สมมติฐาน!$C$20*(1+สมมติฐาน!$C$22)^($B27-1)</f>
        <v>2000</v>
      </c>
      <c r="H27" s="12" t="n">
        <f aca="false">SUMIF(สมมติฐาน!$D$26:$D$29,$B27,สมมติฐาน!$C$26:$C$29)</f>
        <v>0</v>
      </c>
      <c r="I27" s="25" t="n">
        <f aca="false">SUM(E27:H27)</f>
        <v>150000</v>
      </c>
      <c r="J27" s="26" t="n">
        <f aca="false">C27+D27-I27</f>
        <v>-1410000</v>
      </c>
      <c r="K27" s="11" t="str">
        <f aca="false">IF(J27&lt;0,"เงินหมด",IF(J27&lt;สมมติฐาน!$C$21*2,"เหลือน้อย","ปกติ"))</f>
        <v>เงินหมด</v>
      </c>
      <c r="L27" s="24" t="n">
        <f aca="false">IF(J27&lt;0,1,0)</f>
        <v>1</v>
      </c>
    </row>
    <row r="28" customFormat="false" ht="15" hidden="false" customHeight="false" outlineLevel="0" collapsed="false">
      <c r="B28" s="24" t="n">
        <v>24</v>
      </c>
      <c r="C28" s="25" t="n">
        <f aca="false">J27</f>
        <v>-1410000</v>
      </c>
      <c r="D28" s="12" t="n">
        <f aca="false">IF($B28=สมมติฐาน!$C$13,สมมติฐาน!$C$11,0)+IF($B28=สมมติฐาน!$C$14,สมมติฐาน!$C$12,0)</f>
        <v>0</v>
      </c>
      <c r="E28" s="12" t="n">
        <f aca="false">สมมติฐาน!$C$18*(1+สมมติฐาน!$C$22)^($B28-1)</f>
        <v>145000</v>
      </c>
      <c r="F28" s="12" t="n">
        <f aca="false">สมมติฐาน!$C$19*(1+สมมติฐาน!$C$22)^($B28-1)</f>
        <v>3000</v>
      </c>
      <c r="G28" s="12" t="n">
        <f aca="false">สมมติฐาน!$C$20*(1+สมมติฐาน!$C$22)^($B28-1)</f>
        <v>2000</v>
      </c>
      <c r="H28" s="12" t="n">
        <f aca="false">SUMIF(สมมติฐาน!$D$26:$D$29,$B28,สมมติฐาน!$C$26:$C$29)</f>
        <v>0</v>
      </c>
      <c r="I28" s="25" t="n">
        <f aca="false">SUM(E28:H28)</f>
        <v>150000</v>
      </c>
      <c r="J28" s="26" t="n">
        <f aca="false">C28+D28-I28</f>
        <v>-1560000</v>
      </c>
      <c r="K28" s="11" t="str">
        <f aca="false">IF(J28&lt;0,"เงินหมด",IF(J28&lt;สมมติฐาน!$C$21*2,"เหลือน้อย","ปกติ"))</f>
        <v>เงินหมด</v>
      </c>
      <c r="L28" s="24" t="n">
        <f aca="false">IF(J28&lt;0,1,0)</f>
        <v>1</v>
      </c>
    </row>
    <row r="31" customFormat="false" ht="15" hidden="false" customHeight="false" outlineLevel="0" collapsed="false">
      <c r="B31" s="9" t="s">
        <v>115</v>
      </c>
      <c r="C31" s="10"/>
      <c r="D31" s="10"/>
      <c r="E31" s="10"/>
    </row>
    <row r="32" customFormat="false" ht="15" hidden="false" customHeight="false" outlineLevel="0" collapsed="false">
      <c r="B32" s="7" t="s">
        <v>116</v>
      </c>
      <c r="F32" s="27" t="n">
        <f aca="false">IFERROR(MATCH(1,L5:L28,0),0)</f>
        <v>14</v>
      </c>
    </row>
    <row r="33" customFormat="false" ht="15" hidden="false" customHeight="false" outlineLevel="0" collapsed="false">
      <c r="B33" s="7" t="s">
        <v>117</v>
      </c>
      <c r="F33" s="27" t="n">
        <f aca="false">IF(F32=0,24,F32-1)</f>
        <v>13</v>
      </c>
    </row>
    <row r="34" customFormat="false" ht="15" hidden="false" customHeight="false" outlineLevel="0" collapsed="false">
      <c r="B34" s="7" t="s">
        <v>118</v>
      </c>
      <c r="F34" s="19" t="n">
        <f aca="false">MIN(J5:J22)</f>
        <v>-660000</v>
      </c>
    </row>
    <row r="35" customFormat="false" ht="15" hidden="false" customHeight="false" outlineLevel="0" collapsed="false">
      <c r="B35" s="7" t="s">
        <v>119</v>
      </c>
      <c r="F35" s="19" t="n">
        <f aca="false">MAX(0,-F34)</f>
        <v>660000</v>
      </c>
    </row>
    <row r="36" customFormat="false" ht="15" hidden="false" customHeight="false" outlineLevel="0" collapsed="false">
      <c r="B36" s="7" t="s">
        <v>120</v>
      </c>
      <c r="F36" s="19" t="n">
        <f aca="false">J10</f>
        <v>380000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4" min="3" style="0" width="26"/>
    <col collapsed="false" customWidth="true" hidden="false" outlineLevel="0" max="5" min="5" style="0" width="32"/>
  </cols>
  <sheetData>
    <row r="1" customFormat="false" ht="17.35" hidden="false" customHeight="false" outlineLevel="0" collapsed="false">
      <c r="B1" s="1" t="s">
        <v>121</v>
      </c>
    </row>
    <row r="2" customFormat="false" ht="15" hidden="false" customHeight="false" outlineLevel="0" collapsed="false">
      <c r="B2" s="2" t="s">
        <v>122</v>
      </c>
    </row>
    <row r="4" customFormat="false" ht="15" hidden="false" customHeight="false" outlineLevel="0" collapsed="false">
      <c r="B4" s="9" t="s">
        <v>123</v>
      </c>
      <c r="C4" s="10"/>
      <c r="D4" s="10"/>
      <c r="E4" s="10"/>
    </row>
    <row r="5" customFormat="false" ht="15" hidden="false" customHeight="false" outlineLevel="0" collapsed="false">
      <c r="B5" s="21" t="s">
        <v>71</v>
      </c>
      <c r="C5" s="21" t="s">
        <v>124</v>
      </c>
      <c r="D5" s="21" t="s">
        <v>125</v>
      </c>
      <c r="E5" s="21" t="s">
        <v>126</v>
      </c>
    </row>
    <row r="6" customFormat="false" ht="15" hidden="false" customHeight="false" outlineLevel="0" collapsed="false">
      <c r="B6" s="7" t="s">
        <v>127</v>
      </c>
      <c r="C6" s="28" t="n">
        <f aca="false">สมมติฐาน!C11</f>
        <v>2000000</v>
      </c>
      <c r="D6" s="28" t="n">
        <f aca="false">สมมติฐาน!C12</f>
        <v>1000000</v>
      </c>
      <c r="E6" s="17" t="n">
        <f aca="false">C6+D6</f>
        <v>3000000</v>
      </c>
    </row>
    <row r="7" customFormat="false" ht="15" hidden="false" customHeight="false" outlineLevel="0" collapsed="false">
      <c r="B7" s="7" t="s">
        <v>128</v>
      </c>
      <c r="C7" s="29" t="n">
        <f aca="false">สมมติฐาน!C13</f>
        <v>1</v>
      </c>
      <c r="D7" s="29" t="n">
        <f aca="false">สมมติฐาน!C14</f>
        <v>7</v>
      </c>
    </row>
    <row r="8" customFormat="false" ht="15" hidden="false" customHeight="false" outlineLevel="0" collapsed="false">
      <c r="B8" s="7" t="s">
        <v>129</v>
      </c>
      <c r="C8" s="29" t="n">
        <f aca="false">MAX(0,สมมติฐาน!$C$38-(C7-1))</f>
        <v>24</v>
      </c>
      <c r="D8" s="29" t="n">
        <f aca="false">MAX(0,สมมติฐาน!$C$38-(D7-1))</f>
        <v>18</v>
      </c>
    </row>
    <row r="9" customFormat="false" ht="15" hidden="false" customHeight="false" outlineLevel="0" collapsed="false">
      <c r="B9" s="7" t="s">
        <v>130</v>
      </c>
      <c r="C9" s="28" t="n">
        <f aca="false">C6*สมมติฐาน!$C$37*C8/12</f>
        <v>120000</v>
      </c>
      <c r="D9" s="28" t="n">
        <f aca="false">D6*สมมติฐาน!$C$37*D8/12</f>
        <v>45000</v>
      </c>
      <c r="E9" s="17" t="n">
        <f aca="false">C9+D9</f>
        <v>165000</v>
      </c>
    </row>
    <row r="10" customFormat="false" ht="15" hidden="false" customHeight="false" outlineLevel="0" collapsed="false">
      <c r="B10" s="5" t="s">
        <v>131</v>
      </c>
      <c r="C10" s="19" t="n">
        <f aca="false">C6+C9</f>
        <v>2120000</v>
      </c>
      <c r="D10" s="19" t="n">
        <f aca="false">D6+D9</f>
        <v>1045000</v>
      </c>
      <c r="E10" s="19" t="n">
        <f aca="false">E6+E9</f>
        <v>3165000</v>
      </c>
    </row>
    <row r="12" customFormat="false" ht="15" hidden="false" customHeight="false" outlineLevel="0" collapsed="false">
      <c r="B12" s="9" t="s">
        <v>132</v>
      </c>
      <c r="C12" s="10"/>
      <c r="D12" s="10"/>
      <c r="E12" s="10"/>
    </row>
    <row r="13" customFormat="false" ht="15" hidden="false" customHeight="false" outlineLevel="0" collapsed="false">
      <c r="B13" s="7" t="s">
        <v>133</v>
      </c>
      <c r="C13" s="30" t="n">
        <f aca="false">สมมติฐาน!C34/สมมติฐาน!C33</f>
        <v>150</v>
      </c>
    </row>
    <row r="14" customFormat="false" ht="15" hidden="false" customHeight="false" outlineLevel="0" collapsed="false">
      <c r="B14" s="7" t="s">
        <v>134</v>
      </c>
      <c r="C14" s="30" t="n">
        <f aca="false">สมมติฐาน!C39/สมมติฐาน!C33</f>
        <v>400</v>
      </c>
    </row>
    <row r="15" customFormat="false" ht="15" hidden="false" customHeight="false" outlineLevel="0" collapsed="false">
      <c r="B15" s="7" t="s">
        <v>135</v>
      </c>
      <c r="C15" s="30" t="n">
        <f aca="false">C14*(1-สมมติฐาน!C36)</f>
        <v>320</v>
      </c>
    </row>
    <row r="16" customFormat="false" ht="15" hidden="false" customHeight="false" outlineLevel="0" collapsed="false">
      <c r="B16" s="7" t="s">
        <v>136</v>
      </c>
      <c r="C16" s="31" t="n">
        <f aca="false">MIN(C13,C15)</f>
        <v>150</v>
      </c>
    </row>
    <row r="17" customFormat="false" ht="15" hidden="false" customHeight="false" outlineLevel="0" collapsed="false">
      <c r="B17" s="7" t="s">
        <v>137</v>
      </c>
      <c r="C17" s="5" t="str">
        <f aca="false">IF(C13&lt;=C15,"เพดานมูลค่า","ส่วนลด")</f>
        <v>เพดานมูลค่า</v>
      </c>
    </row>
    <row r="18" customFormat="false" ht="15" hidden="false" customHeight="false" outlineLevel="0" collapsed="false">
      <c r="B18" s="7" t="s">
        <v>138</v>
      </c>
      <c r="C18" s="28" t="n">
        <f aca="false">สมมติฐาน!C34/(1-สมมติฐาน!C36)</f>
        <v>18750000</v>
      </c>
    </row>
    <row r="20" customFormat="false" ht="15" hidden="false" customHeight="false" outlineLevel="0" collapsed="false">
      <c r="B20" s="9" t="s">
        <v>139</v>
      </c>
      <c r="C20" s="10"/>
      <c r="D20" s="10"/>
      <c r="E20" s="10"/>
    </row>
    <row r="21" customFormat="false" ht="15" hidden="false" customHeight="false" outlineLevel="0" collapsed="false">
      <c r="B21" s="7" t="s">
        <v>140</v>
      </c>
      <c r="C21" s="32" t="n">
        <f aca="false">IF(สมมติฐาน!C35=1,E10/(E10+สมมติฐาน!C34),E10/สมมติฐาน!C34)</f>
        <v>0.174236168455822</v>
      </c>
    </row>
    <row r="22" customFormat="false" ht="15" hidden="false" customHeight="false" outlineLevel="0" collapsed="false">
      <c r="B22" s="7" t="s">
        <v>141</v>
      </c>
      <c r="C22" s="32" t="n">
        <f aca="false">E10/(E10+สมมติฐาน!C39*(1-สมมติฐาน!C36))</f>
        <v>0.090004265605005</v>
      </c>
    </row>
    <row r="23" customFormat="false" ht="15" hidden="false" customHeight="false" outlineLevel="0" collapsed="false">
      <c r="B23" s="5" t="s">
        <v>142</v>
      </c>
      <c r="C23" s="33" t="n">
        <f aca="false">MAX(C21,C22)</f>
        <v>0.174236168455822</v>
      </c>
    </row>
    <row r="24" customFormat="false" ht="15" hidden="false" customHeight="false" outlineLevel="0" collapsed="false">
      <c r="B24" s="7" t="s">
        <v>143</v>
      </c>
      <c r="C24" s="34" t="n">
        <f aca="false">C23/(1-C23)*สมมติฐาน!C33</f>
        <v>21100</v>
      </c>
    </row>
    <row r="25" customFormat="false" ht="15" hidden="false" customHeight="false" outlineLevel="0" collapsed="false">
      <c r="B25" s="7" t="s">
        <v>144</v>
      </c>
      <c r="C25" s="34" t="n">
        <f aca="false">สมมติฐาน!C33</f>
        <v>100000</v>
      </c>
    </row>
    <row r="26" customFormat="false" ht="15" hidden="false" customHeight="false" outlineLevel="0" collapsed="false">
      <c r="B26" s="7" t="s">
        <v>145</v>
      </c>
      <c r="C26" s="35" t="n">
        <f aca="false">C24+C25</f>
        <v>121100</v>
      </c>
    </row>
    <row r="27" customFormat="false" ht="15" hidden="false" customHeight="false" outlineLevel="0" collapsed="false">
      <c r="B27" s="5" t="s">
        <v>36</v>
      </c>
      <c r="C27" s="33" t="n">
        <f aca="false">1-C23</f>
        <v>0.825763831544178</v>
      </c>
    </row>
    <row r="28" customFormat="false" ht="15" hidden="false" customHeight="false" outlineLevel="0" collapsed="false">
      <c r="B28" s="7" t="s">
        <v>146</v>
      </c>
      <c r="C28" s="36" t="n">
        <f aca="false">C24/C26</f>
        <v>0.174236168455822</v>
      </c>
    </row>
    <row r="30" customFormat="false" ht="15" hidden="false" customHeight="false" outlineLevel="0" collapsed="false">
      <c r="B30" s="9" t="s">
        <v>147</v>
      </c>
      <c r="C30" s="10"/>
      <c r="D30" s="10"/>
      <c r="E30" s="10"/>
    </row>
    <row r="31" customFormat="false" ht="54" hidden="false" customHeight="true" outlineLevel="0" collapsed="false">
      <c r="B31" s="21" t="s">
        <v>148</v>
      </c>
      <c r="C31" s="21" t="s">
        <v>149</v>
      </c>
      <c r="D31" s="21" t="s">
        <v>150</v>
      </c>
      <c r="E31" s="21" t="s">
        <v>151</v>
      </c>
    </row>
    <row r="32" customFormat="false" ht="15" hidden="false" customHeight="false" outlineLevel="0" collapsed="false">
      <c r="B32" s="16" t="n">
        <v>8000000</v>
      </c>
      <c r="C32" s="37" t="n">
        <f aca="false">$E$10/($E$10+B32)</f>
        <v>0.283475145544111</v>
      </c>
      <c r="D32" s="37" t="n">
        <f aca="false">IF(B32&gt;0,$E$10/B32,0)</f>
        <v>0.395625</v>
      </c>
      <c r="E32" s="25" t="n">
        <f aca="false">$E$10+B32</f>
        <v>11165000</v>
      </c>
    </row>
    <row r="33" customFormat="false" ht="15" hidden="false" customHeight="false" outlineLevel="0" collapsed="false">
      <c r="B33" s="16" t="n">
        <v>10000000</v>
      </c>
      <c r="C33" s="37" t="n">
        <f aca="false">$E$10/($E$10+B33)</f>
        <v>0.240410178503608</v>
      </c>
      <c r="D33" s="37" t="n">
        <f aca="false">IF(B33&gt;0,$E$10/B33,0)</f>
        <v>0.3165</v>
      </c>
      <c r="E33" s="25" t="n">
        <f aca="false">$E$10+B33</f>
        <v>13165000</v>
      </c>
    </row>
    <row r="34" customFormat="false" ht="15" hidden="false" customHeight="false" outlineLevel="0" collapsed="false">
      <c r="B34" s="16" t="n">
        <v>12000000</v>
      </c>
      <c r="C34" s="37" t="n">
        <f aca="false">$E$10/($E$10+B34)</f>
        <v>0.208704253214639</v>
      </c>
      <c r="D34" s="37" t="n">
        <f aca="false">IF(B34&gt;0,$E$10/B34,0)</f>
        <v>0.26375</v>
      </c>
      <c r="E34" s="25" t="n">
        <f aca="false">$E$10+B34</f>
        <v>15165000</v>
      </c>
    </row>
    <row r="35" customFormat="false" ht="15" hidden="false" customHeight="false" outlineLevel="0" collapsed="false">
      <c r="B35" s="16" t="n">
        <v>15000000</v>
      </c>
      <c r="C35" s="37" t="n">
        <f aca="false">$E$10/($E$10+B35)</f>
        <v>0.174236168455822</v>
      </c>
      <c r="D35" s="37" t="n">
        <f aca="false">IF(B35&gt;0,$E$10/B35,0)</f>
        <v>0.211</v>
      </c>
      <c r="E35" s="25" t="n">
        <f aca="false">$E$10+B35</f>
        <v>18165000</v>
      </c>
    </row>
    <row r="36" customFormat="false" ht="15" hidden="false" customHeight="false" outlineLevel="0" collapsed="false">
      <c r="B36" s="16" t="n">
        <v>18000000</v>
      </c>
      <c r="C36" s="37" t="n">
        <f aca="false">$E$10/($E$10+B36)</f>
        <v>0.149539333805811</v>
      </c>
      <c r="D36" s="37" t="n">
        <f aca="false">IF(B36&gt;0,$E$10/B36,0)</f>
        <v>0.175833333333333</v>
      </c>
      <c r="E36" s="25" t="n">
        <f aca="false">$E$10+B36</f>
        <v>21165000</v>
      </c>
    </row>
    <row r="37" customFormat="false" ht="15" hidden="false" customHeight="false" outlineLevel="0" collapsed="false">
      <c r="B37" s="16" t="n">
        <v>20000000</v>
      </c>
      <c r="C37" s="37" t="n">
        <f aca="false">$E$10/($E$10+B37)</f>
        <v>0.136628534426937</v>
      </c>
      <c r="D37" s="37" t="n">
        <f aca="false">IF(B37&gt;0,$E$10/B37,0)</f>
        <v>0.15825</v>
      </c>
      <c r="E37" s="25" t="n">
        <f aca="false">$E$10+B37</f>
        <v>23165000</v>
      </c>
    </row>
    <row r="38" customFormat="false" ht="15" hidden="false" customHeight="false" outlineLevel="0" collapsed="false">
      <c r="B38" s="16" t="n">
        <v>25000000</v>
      </c>
      <c r="C38" s="37" t="n">
        <f aca="false">$E$10/($E$10+B38)</f>
        <v>0.112373513225635</v>
      </c>
      <c r="D38" s="37" t="n">
        <f aca="false">IF(B38&gt;0,$E$10/B38,0)</f>
        <v>0.1266</v>
      </c>
      <c r="E38" s="25" t="n">
        <f aca="false">$E$10+B38</f>
        <v>28165000</v>
      </c>
    </row>
    <row r="39" customFormat="false" ht="15" hidden="false" customHeight="false" outlineLevel="0" collapsed="false">
      <c r="B39" s="16" t="n">
        <v>30000000</v>
      </c>
      <c r="C39" s="37" t="n">
        <f aca="false">$E$10/($E$10+B39)</f>
        <v>0.0954319312528268</v>
      </c>
      <c r="D39" s="37" t="n">
        <f aca="false">IF(B39&gt;0,$E$10/B39,0)</f>
        <v>0.1055</v>
      </c>
      <c r="E39" s="25" t="n">
        <f aca="false">$E$10+B39</f>
        <v>33165000</v>
      </c>
    </row>
    <row r="41" customFormat="false" ht="15" hidden="false" customHeight="false" outlineLevel="0" collapsed="false">
      <c r="B41" s="9" t="s">
        <v>152</v>
      </c>
      <c r="C41" s="10"/>
      <c r="D41" s="10"/>
      <c r="E41" s="10"/>
    </row>
    <row r="42" customFormat="false" ht="15" hidden="false" customHeight="false" outlineLevel="0" collapsed="false">
      <c r="B42" s="21" t="s">
        <v>153</v>
      </c>
      <c r="C42" s="21" t="s">
        <v>154</v>
      </c>
      <c r="D42" s="21" t="s">
        <v>155</v>
      </c>
    </row>
    <row r="43" customFormat="false" ht="15" hidden="false" customHeight="false" outlineLevel="0" collapsed="false">
      <c r="B43" s="20" t="n">
        <v>0</v>
      </c>
      <c r="C43" s="25" t="n">
        <f aca="false">$E$6+B43*($C$6*$C$8+$D$6*$D$8)/12</f>
        <v>3000000</v>
      </c>
      <c r="D43" s="38" t="n">
        <f aca="false">IF(สมมติฐาน!$C$35=1,C43/(C43+สมมติฐาน!$C$34),C43/สมมติฐาน!$C$34)</f>
        <v>0.166666666666667</v>
      </c>
    </row>
    <row r="44" customFormat="false" ht="15" hidden="false" customHeight="false" outlineLevel="0" collapsed="false">
      <c r="B44" s="20" t="n">
        <v>0.03</v>
      </c>
      <c r="C44" s="25" t="n">
        <f aca="false">$E$6+B44*($C$6*$C$8+$D$6*$D$8)/12</f>
        <v>3165000</v>
      </c>
      <c r="D44" s="38" t="n">
        <f aca="false">IF(สมมติฐาน!$C$35=1,C44/(C44+สมมติฐาน!$C$34),C44/สมมติฐาน!$C$34)</f>
        <v>0.174236168455822</v>
      </c>
    </row>
    <row r="45" customFormat="false" ht="15" hidden="false" customHeight="false" outlineLevel="0" collapsed="false">
      <c r="B45" s="20" t="n">
        <v>0.05</v>
      </c>
      <c r="C45" s="25" t="n">
        <f aca="false">$E$6+B45*($C$6*$C$8+$D$6*$D$8)/12</f>
        <v>3275000</v>
      </c>
      <c r="D45" s="38" t="n">
        <f aca="false">IF(สมมติฐาน!$C$35=1,C45/(C45+สมมติฐาน!$C$34),C45/สมมติฐาน!$C$34)</f>
        <v>0.179206566347469</v>
      </c>
    </row>
    <row r="46" customFormat="false" ht="15" hidden="false" customHeight="false" outlineLevel="0" collapsed="false">
      <c r="B46" s="20" t="n">
        <v>0.08</v>
      </c>
      <c r="C46" s="25" t="n">
        <f aca="false">$E$6+B46*($C$6*$C$8+$D$6*$D$8)/12</f>
        <v>3440000</v>
      </c>
      <c r="D46" s="38" t="n">
        <f aca="false">IF(สมมติฐาน!$C$35=1,C46/(C46+สมมติฐาน!$C$34),C46/สมมติฐาน!$C$34)</f>
        <v>0.186550976138829</v>
      </c>
    </row>
    <row r="48" customFormat="false" ht="15" hidden="false" customHeight="false" outlineLevel="0" collapsed="false">
      <c r="B48" s="9" t="s">
        <v>156</v>
      </c>
      <c r="C48" s="10"/>
      <c r="D48" s="10"/>
      <c r="E48" s="10"/>
    </row>
    <row r="49" customFormat="false" ht="15" hidden="false" customHeight="false" outlineLevel="0" collapsed="false">
      <c r="B49" s="7" t="s">
        <v>157</v>
      </c>
      <c r="C49" s="17" t="n">
        <f aca="false">E10</f>
        <v>3165000</v>
      </c>
    </row>
    <row r="50" customFormat="false" ht="15" hidden="false" customHeight="false" outlineLevel="0" collapsed="false">
      <c r="B50" s="7" t="s">
        <v>158</v>
      </c>
      <c r="C50" s="17" t="n">
        <f aca="false">C10</f>
        <v>2120000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26" min="3" style="0" width="14"/>
  </cols>
  <sheetData>
    <row r="1" customFormat="false" ht="17.15" hidden="false" customHeight="false" outlineLevel="0" collapsed="false">
      <c r="B1" s="1" t="s">
        <v>159</v>
      </c>
    </row>
    <row r="2" customFormat="false" ht="15" hidden="false" customHeight="false" outlineLevel="0" collapsed="false">
      <c r="B2" s="2" t="s">
        <v>160</v>
      </c>
    </row>
    <row r="5" customFormat="false" ht="54" hidden="false" customHeight="true" outlineLevel="0" collapsed="false">
      <c r="B5" s="21" t="s">
        <v>161</v>
      </c>
      <c r="C5" s="21" t="s">
        <v>25</v>
      </c>
      <c r="D5" s="21" t="s">
        <v>26</v>
      </c>
      <c r="E5" s="21" t="s">
        <v>162</v>
      </c>
      <c r="F5" s="21" t="s">
        <v>163</v>
      </c>
      <c r="G5" s="21" t="s">
        <v>164</v>
      </c>
      <c r="H5" s="21" t="s">
        <v>165</v>
      </c>
      <c r="I5" s="21" t="s">
        <v>166</v>
      </c>
      <c r="J5" s="21" t="s">
        <v>167</v>
      </c>
      <c r="K5" s="21" t="s">
        <v>168</v>
      </c>
      <c r="L5" s="21" t="s">
        <v>169</v>
      </c>
      <c r="M5" s="21" t="s">
        <v>170</v>
      </c>
      <c r="N5" s="21" t="s">
        <v>171</v>
      </c>
      <c r="O5" s="21" t="s">
        <v>172</v>
      </c>
    </row>
    <row r="6" customFormat="false" ht="27.75" hidden="false" customHeight="true" outlineLevel="0" collapsed="false">
      <c r="B6" s="39" t="s">
        <v>173</v>
      </c>
      <c r="C6" s="12" t="n">
        <f aca="false">สมมติฐาน!C11</f>
        <v>2000000</v>
      </c>
      <c r="D6" s="12" t="n">
        <f aca="false">สมมติฐาน!C12</f>
        <v>1000000</v>
      </c>
      <c r="E6" s="13" t="n">
        <f aca="false">สมมติฐาน!C14</f>
        <v>7</v>
      </c>
      <c r="F6" s="12" t="n">
        <f aca="false">สมมติฐาน!C27</f>
        <v>450000</v>
      </c>
      <c r="G6" s="12" t="n">
        <f aca="false">สมมติฐาน!C29</f>
        <v>240000</v>
      </c>
      <c r="H6" s="14" t="n">
        <f aca="false">สมมติฐาน!C22</f>
        <v>0</v>
      </c>
      <c r="I6" s="40" t="n">
        <f aca="false">IFERROR(MATCH(1,C34:Z34,0),0)</f>
        <v>14</v>
      </c>
      <c r="J6" s="40" t="n">
        <f aca="false">IF(I6=0,24,I6-1)</f>
        <v>13</v>
      </c>
      <c r="K6" s="25" t="n">
        <f aca="false">INDEX(C20:Z20,6)</f>
        <v>380000</v>
      </c>
      <c r="L6" s="25" t="n">
        <f aca="false">INDEX(C20:Z20,7)</f>
        <v>1230000</v>
      </c>
      <c r="M6" s="25" t="n">
        <f aca="false">INDEX(C20:Z20,8)</f>
        <v>1080000</v>
      </c>
      <c r="N6" s="25" t="n">
        <f aca="false">MIN(C20:T20)</f>
        <v>-660000</v>
      </c>
      <c r="O6" s="25" t="n">
        <f aca="false">MAX(0,-N6)</f>
        <v>660000</v>
      </c>
    </row>
    <row r="7" customFormat="false" ht="27.75" hidden="false" customHeight="true" outlineLevel="0" collapsed="false">
      <c r="B7" s="41" t="s">
        <v>174</v>
      </c>
      <c r="C7" s="25" t="n">
        <f aca="false">$C$6</f>
        <v>2000000</v>
      </c>
      <c r="D7" s="16" t="n">
        <v>0</v>
      </c>
      <c r="E7" s="24" t="n">
        <f aca="false">$E$6</f>
        <v>7</v>
      </c>
      <c r="F7" s="25" t="n">
        <f aca="false">$F$6</f>
        <v>450000</v>
      </c>
      <c r="G7" s="25" t="n">
        <f aca="false">$G$6</f>
        <v>240000</v>
      </c>
      <c r="H7" s="42" t="n">
        <f aca="false">$H$6</f>
        <v>0</v>
      </c>
      <c r="I7" s="40" t="n">
        <f aca="false">IFERROR(MATCH(1,C35:Z35,0),0)</f>
        <v>9</v>
      </c>
      <c r="J7" s="40" t="n">
        <f aca="false">IF(I7=0,24,I7-1)</f>
        <v>8</v>
      </c>
      <c r="K7" s="25" t="n">
        <f aca="false">INDEX(C21:Z21,6)</f>
        <v>380000</v>
      </c>
      <c r="L7" s="25" t="n">
        <f aca="false">INDEX(C21:Z21,7)</f>
        <v>230000</v>
      </c>
      <c r="M7" s="25" t="n">
        <f aca="false">INDEX(C21:Z21,8)</f>
        <v>80000</v>
      </c>
      <c r="N7" s="25" t="n">
        <f aca="false">MIN(C21:T21)</f>
        <v>-1660000</v>
      </c>
      <c r="O7" s="25" t="n">
        <f aca="false">MAX(0,-N7)</f>
        <v>1660000</v>
      </c>
    </row>
    <row r="8" customFormat="false" ht="27.75" hidden="false" customHeight="true" outlineLevel="0" collapsed="false">
      <c r="B8" s="41" t="s">
        <v>175</v>
      </c>
      <c r="C8" s="25" t="n">
        <f aca="false">$C$6</f>
        <v>2000000</v>
      </c>
      <c r="D8" s="25" t="n">
        <f aca="false">$D$6</f>
        <v>1000000</v>
      </c>
      <c r="E8" s="24" t="n">
        <f aca="false">$E$6+1</f>
        <v>8</v>
      </c>
      <c r="F8" s="25" t="n">
        <f aca="false">$F$6</f>
        <v>450000</v>
      </c>
      <c r="G8" s="25" t="n">
        <f aca="false">$G$6</f>
        <v>240000</v>
      </c>
      <c r="H8" s="42" t="n">
        <f aca="false">$H$6</f>
        <v>0</v>
      </c>
      <c r="I8" s="40" t="n">
        <f aca="false">IFERROR(MATCH(1,C36:Z36,0),0)</f>
        <v>14</v>
      </c>
      <c r="J8" s="40" t="n">
        <f aca="false">IF(I8=0,24,I8-1)</f>
        <v>13</v>
      </c>
      <c r="K8" s="25" t="n">
        <f aca="false">INDEX(C22:Z22,6)</f>
        <v>380000</v>
      </c>
      <c r="L8" s="25" t="n">
        <f aca="false">INDEX(C22:Z22,7)</f>
        <v>230000</v>
      </c>
      <c r="M8" s="25" t="n">
        <f aca="false">INDEX(C22:Z22,8)</f>
        <v>1080000</v>
      </c>
      <c r="N8" s="25" t="n">
        <f aca="false">MIN(C22:T22)</f>
        <v>-660000</v>
      </c>
      <c r="O8" s="25" t="n">
        <f aca="false">MAX(0,-N8)</f>
        <v>660000</v>
      </c>
    </row>
    <row r="9" customFormat="false" ht="27.75" hidden="false" customHeight="true" outlineLevel="0" collapsed="false">
      <c r="B9" s="41" t="s">
        <v>176</v>
      </c>
      <c r="C9" s="25" t="n">
        <f aca="false">$C$6</f>
        <v>2000000</v>
      </c>
      <c r="D9" s="25" t="n">
        <f aca="false">$D$6</f>
        <v>1000000</v>
      </c>
      <c r="E9" s="24" t="n">
        <f aca="false">$E$6+2</f>
        <v>9</v>
      </c>
      <c r="F9" s="25" t="n">
        <f aca="false">$F$6</f>
        <v>450000</v>
      </c>
      <c r="G9" s="25" t="n">
        <f aca="false">$G$6</f>
        <v>240000</v>
      </c>
      <c r="H9" s="42" t="n">
        <f aca="false">$H$6</f>
        <v>0</v>
      </c>
      <c r="I9" s="40" t="n">
        <f aca="false">IFERROR(MATCH(1,C37:Z37,0),0)</f>
        <v>14</v>
      </c>
      <c r="J9" s="40" t="n">
        <f aca="false">IF(I9=0,24,I9-1)</f>
        <v>13</v>
      </c>
      <c r="K9" s="25" t="n">
        <f aca="false">INDEX(C23:Z23,6)</f>
        <v>380000</v>
      </c>
      <c r="L9" s="25" t="n">
        <f aca="false">INDEX(C23:Z23,7)</f>
        <v>230000</v>
      </c>
      <c r="M9" s="25" t="n">
        <f aca="false">INDEX(C23:Z23,8)</f>
        <v>80000</v>
      </c>
      <c r="N9" s="25" t="n">
        <f aca="false">MIN(C23:T23)</f>
        <v>-660000</v>
      </c>
      <c r="O9" s="25" t="n">
        <f aca="false">MAX(0,-N9)</f>
        <v>660000</v>
      </c>
    </row>
    <row r="10" customFormat="false" ht="27.75" hidden="false" customHeight="true" outlineLevel="0" collapsed="false">
      <c r="B10" s="41" t="s">
        <v>177</v>
      </c>
      <c r="C10" s="25" t="n">
        <f aca="false">$C$6</f>
        <v>2000000</v>
      </c>
      <c r="D10" s="25" t="n">
        <f aca="false">$D$6</f>
        <v>1000000</v>
      </c>
      <c r="E10" s="24" t="n">
        <f aca="false">$E$6</f>
        <v>7</v>
      </c>
      <c r="F10" s="16" t="n">
        <v>700000</v>
      </c>
      <c r="G10" s="25" t="n">
        <f aca="false">$G$6</f>
        <v>240000</v>
      </c>
      <c r="H10" s="42" t="n">
        <f aca="false">$H$6</f>
        <v>0</v>
      </c>
      <c r="I10" s="40" t="n">
        <f aca="false">IFERROR(MATCH(1,C38:Z38,0),0)</f>
        <v>12</v>
      </c>
      <c r="J10" s="40" t="n">
        <f aca="false">IF(I10=0,24,I10-1)</f>
        <v>11</v>
      </c>
      <c r="K10" s="25" t="n">
        <f aca="false">INDEX(C24:Z24,6)</f>
        <v>130000</v>
      </c>
      <c r="L10" s="25" t="n">
        <f aca="false">INDEX(C24:Z24,7)</f>
        <v>980000</v>
      </c>
      <c r="M10" s="25" t="n">
        <f aca="false">INDEX(C24:Z24,8)</f>
        <v>830000</v>
      </c>
      <c r="N10" s="25" t="n">
        <f aca="false">MIN(C24:T24)</f>
        <v>-910000</v>
      </c>
      <c r="O10" s="25" t="n">
        <f aca="false">MAX(0,-N10)</f>
        <v>910000</v>
      </c>
    </row>
    <row r="11" customFormat="false" ht="27.75" hidden="false" customHeight="true" outlineLevel="0" collapsed="false">
      <c r="B11" s="41" t="s">
        <v>178</v>
      </c>
      <c r="C11" s="25" t="n">
        <f aca="false">$C$6</f>
        <v>2000000</v>
      </c>
      <c r="D11" s="25" t="n">
        <f aca="false">$D$6</f>
        <v>1000000</v>
      </c>
      <c r="E11" s="24" t="n">
        <f aca="false">$E$6</f>
        <v>7</v>
      </c>
      <c r="F11" s="16" t="n">
        <v>830000</v>
      </c>
      <c r="G11" s="25" t="n">
        <f aca="false">$G$6</f>
        <v>240000</v>
      </c>
      <c r="H11" s="42" t="n">
        <f aca="false">$H$6</f>
        <v>0</v>
      </c>
      <c r="I11" s="40" t="n">
        <f aca="false">IFERROR(MATCH(1,C39:Z39,0),0)</f>
        <v>12</v>
      </c>
      <c r="J11" s="40" t="n">
        <f aca="false">IF(I11=0,24,I11-1)</f>
        <v>11</v>
      </c>
      <c r="K11" s="25" t="n">
        <f aca="false">INDEX(C25:Z25,6)</f>
        <v>0</v>
      </c>
      <c r="L11" s="25" t="n">
        <f aca="false">INDEX(C25:Z25,7)</f>
        <v>850000</v>
      </c>
      <c r="M11" s="25" t="n">
        <f aca="false">INDEX(C25:Z25,8)</f>
        <v>700000</v>
      </c>
      <c r="N11" s="25" t="n">
        <f aca="false">MIN(C25:T25)</f>
        <v>-1040000</v>
      </c>
      <c r="O11" s="25" t="n">
        <f aca="false">MAX(0,-N11)</f>
        <v>1040000</v>
      </c>
    </row>
    <row r="12" customFormat="false" ht="27.75" hidden="false" customHeight="true" outlineLevel="0" collapsed="false">
      <c r="B12" s="41" t="s">
        <v>179</v>
      </c>
      <c r="C12" s="25" t="n">
        <f aca="false">$C$6</f>
        <v>2000000</v>
      </c>
      <c r="D12" s="25" t="n">
        <f aca="false">$D$6</f>
        <v>1000000</v>
      </c>
      <c r="E12" s="24" t="n">
        <f aca="false">$E$6</f>
        <v>7</v>
      </c>
      <c r="F12" s="16" t="n">
        <v>900000</v>
      </c>
      <c r="G12" s="25" t="n">
        <f aca="false">$G$6</f>
        <v>240000</v>
      </c>
      <c r="H12" s="42" t="n">
        <f aca="false">$H$6</f>
        <v>0</v>
      </c>
      <c r="I12" s="40" t="n">
        <f aca="false">IFERROR(MATCH(1,C40:Z40,0),0)</f>
        <v>6</v>
      </c>
      <c r="J12" s="40" t="n">
        <f aca="false">IF(I12=0,24,I12-1)</f>
        <v>5</v>
      </c>
      <c r="K12" s="25" t="n">
        <f aca="false">INDEX(C26:Z26,6)</f>
        <v>-70000</v>
      </c>
      <c r="L12" s="25" t="n">
        <f aca="false">INDEX(C26:Z26,7)</f>
        <v>780000</v>
      </c>
      <c r="M12" s="25" t="n">
        <f aca="false">INDEX(C26:Z26,8)</f>
        <v>630000</v>
      </c>
      <c r="N12" s="25" t="n">
        <f aca="false">MIN(C26:T26)</f>
        <v>-1110000</v>
      </c>
      <c r="O12" s="25" t="n">
        <f aca="false">MAX(0,-N12)</f>
        <v>1110000</v>
      </c>
    </row>
    <row r="13" customFormat="false" ht="27.75" hidden="false" customHeight="true" outlineLevel="0" collapsed="false">
      <c r="B13" s="41" t="s">
        <v>180</v>
      </c>
      <c r="C13" s="25" t="n">
        <f aca="false">$C$6</f>
        <v>2000000</v>
      </c>
      <c r="D13" s="25" t="n">
        <f aca="false">$D$6</f>
        <v>1000000</v>
      </c>
      <c r="E13" s="24" t="n">
        <f aca="false">$E$6</f>
        <v>7</v>
      </c>
      <c r="F13" s="25" t="n">
        <f aca="false">$F$6</f>
        <v>450000</v>
      </c>
      <c r="G13" s="25" t="n">
        <f aca="false">$G$6</f>
        <v>240000</v>
      </c>
      <c r="H13" s="20" t="n">
        <v>0.02</v>
      </c>
      <c r="I13" s="40" t="n">
        <f aca="false">IFERROR(MATCH(1,C41:Z41,0),0)</f>
        <v>13</v>
      </c>
      <c r="J13" s="40" t="n">
        <f aca="false">IF(I13=0,24,I13-1)</f>
        <v>12</v>
      </c>
      <c r="K13" s="25" t="n">
        <f aca="false">INDEX(C27:Z27,6)</f>
        <v>333781.855519999</v>
      </c>
      <c r="L13" s="25" t="n">
        <f aca="false">INDEX(C27:Z27,7)</f>
        <v>1164857.4926304</v>
      </c>
      <c r="M13" s="25" t="n">
        <f aca="false">INDEX(C27:Z27,8)</f>
        <v>992554.642483007</v>
      </c>
      <c r="N13" s="25" t="n">
        <f aca="false">MIN(C27:T27)</f>
        <v>-1171846.85682205</v>
      </c>
      <c r="O13" s="25" t="n">
        <f aca="false">MAX(0,-N13)</f>
        <v>1171846.85682205</v>
      </c>
    </row>
    <row r="14" customFormat="false" ht="27.75" hidden="false" customHeight="true" outlineLevel="0" collapsed="false">
      <c r="B14" s="41" t="s">
        <v>181</v>
      </c>
      <c r="C14" s="25" t="n">
        <f aca="false">$C$6</f>
        <v>2000000</v>
      </c>
      <c r="D14" s="25" t="n">
        <f aca="false">$D$6</f>
        <v>1000000</v>
      </c>
      <c r="E14" s="24" t="n">
        <f aca="false">$E$6</f>
        <v>7</v>
      </c>
      <c r="F14" s="25" t="n">
        <f aca="false">$F$6</f>
        <v>450000</v>
      </c>
      <c r="G14" s="16" t="n">
        <v>400000</v>
      </c>
      <c r="H14" s="42" t="n">
        <f aca="false">$H$6</f>
        <v>0</v>
      </c>
      <c r="I14" s="40" t="n">
        <f aca="false">IFERROR(MATCH(1,C42:Z42,0),0)</f>
        <v>13</v>
      </c>
      <c r="J14" s="40" t="n">
        <f aca="false">IF(I14=0,24,I14-1)</f>
        <v>12</v>
      </c>
      <c r="K14" s="25" t="n">
        <f aca="false">INDEX(C28:Z28,6)</f>
        <v>380000</v>
      </c>
      <c r="L14" s="25" t="n">
        <f aca="false">INDEX(C28:Z28,7)</f>
        <v>1230000</v>
      </c>
      <c r="M14" s="25" t="n">
        <f aca="false">INDEX(C28:Z28,8)</f>
        <v>1080000</v>
      </c>
      <c r="N14" s="25" t="n">
        <f aca="false">MIN(C28:T28)</f>
        <v>-820000</v>
      </c>
      <c r="O14" s="25" t="n">
        <f aca="false">MAX(0,-N14)</f>
        <v>820000</v>
      </c>
    </row>
    <row r="15" customFormat="false" ht="27.75" hidden="false" customHeight="true" outlineLevel="0" collapsed="false">
      <c r="B15" s="41" t="s">
        <v>182</v>
      </c>
      <c r="C15" s="25" t="n">
        <f aca="false">$C$6</f>
        <v>2000000</v>
      </c>
      <c r="D15" s="25" t="n">
        <f aca="false">$D$6</f>
        <v>1000000</v>
      </c>
      <c r="E15" s="24" t="n">
        <f aca="false">$E$6+1</f>
        <v>8</v>
      </c>
      <c r="F15" s="16" t="n">
        <v>900000</v>
      </c>
      <c r="G15" s="25" t="n">
        <f aca="false">$G$6</f>
        <v>240000</v>
      </c>
      <c r="H15" s="42" t="n">
        <f aca="false">$H$6</f>
        <v>0</v>
      </c>
      <c r="I15" s="40" t="n">
        <f aca="false">IFERROR(MATCH(1,C43:Z43,0),0)</f>
        <v>6</v>
      </c>
      <c r="J15" s="40" t="n">
        <f aca="false">IF(I15=0,24,I15-1)</f>
        <v>5</v>
      </c>
      <c r="K15" s="25" t="n">
        <f aca="false">INDEX(C29:Z29,6)</f>
        <v>-70000</v>
      </c>
      <c r="L15" s="25" t="n">
        <f aca="false">INDEX(C29:Z29,7)</f>
        <v>-220000</v>
      </c>
      <c r="M15" s="25" t="n">
        <f aca="false">INDEX(C29:Z29,8)</f>
        <v>630000</v>
      </c>
      <c r="N15" s="25" t="n">
        <f aca="false">MIN(C29:T29)</f>
        <v>-1110000</v>
      </c>
      <c r="O15" s="25" t="n">
        <f aca="false">MAX(0,-N15)</f>
        <v>1110000</v>
      </c>
    </row>
    <row r="17" customFormat="false" ht="15" hidden="false" customHeight="false" outlineLevel="0" collapsed="false">
      <c r="B17" s="2" t="s">
        <v>183</v>
      </c>
    </row>
    <row r="18" customFormat="false" ht="15" hidden="false" customHeight="false" outlineLevel="0" collapsed="false">
      <c r="B18" s="5" t="s">
        <v>184</v>
      </c>
    </row>
    <row r="19" customFormat="false" ht="15" hidden="false" customHeight="false" outlineLevel="0" collapsed="false">
      <c r="B19" s="5" t="s">
        <v>161</v>
      </c>
      <c r="C19" s="43" t="n">
        <v>1</v>
      </c>
      <c r="D19" s="43" t="n">
        <v>2</v>
      </c>
      <c r="E19" s="43" t="n">
        <v>3</v>
      </c>
      <c r="F19" s="43" t="n">
        <v>4</v>
      </c>
      <c r="G19" s="43" t="n">
        <v>5</v>
      </c>
      <c r="H19" s="43" t="n">
        <v>6</v>
      </c>
      <c r="I19" s="43" t="n">
        <v>7</v>
      </c>
      <c r="J19" s="43" t="n">
        <v>8</v>
      </c>
      <c r="K19" s="43" t="n">
        <v>9</v>
      </c>
      <c r="L19" s="43" t="n">
        <v>10</v>
      </c>
      <c r="M19" s="43" t="n">
        <v>11</v>
      </c>
      <c r="N19" s="43" t="n">
        <v>12</v>
      </c>
      <c r="O19" s="43" t="n">
        <v>13</v>
      </c>
      <c r="P19" s="43" t="n">
        <v>14</v>
      </c>
      <c r="Q19" s="43" t="n">
        <v>15</v>
      </c>
      <c r="R19" s="43" t="n">
        <v>16</v>
      </c>
      <c r="S19" s="43" t="n">
        <v>17</v>
      </c>
      <c r="T19" s="43" t="n">
        <v>18</v>
      </c>
      <c r="U19" s="43" t="n">
        <v>19</v>
      </c>
      <c r="V19" s="43" t="n">
        <v>20</v>
      </c>
      <c r="W19" s="43" t="n">
        <v>21</v>
      </c>
      <c r="X19" s="43" t="n">
        <v>22</v>
      </c>
      <c r="Y19" s="43" t="n">
        <v>23</v>
      </c>
      <c r="Z19" s="43" t="n">
        <v>24</v>
      </c>
    </row>
    <row r="20" customFormat="false" ht="15" hidden="false" customHeight="false" outlineLevel="0" collapsed="false">
      <c r="B20" s="4" t="str">
        <f aca="false">B6</f>
        <v>ฐาน (ตามสมมติฐาน)</v>
      </c>
      <c r="C20" s="17" t="n">
        <f aca="false">สมมติฐาน!$C$15+$C6*(C$19&gt;=สมมติฐาน!$C$13)+$D6*(C$19&gt;=$E6)-IF($H6=0,สมมติฐาน!$C$21*C$19,สมมติฐาน!$C$21*((1+$H6)^C$19-1)/$H6)-(สมมติฐาน!$C$26*(C$19&gt;=สมมติฐาน!$D$26)+$F6*(C$19&gt;=สมมติฐาน!$D$27)+สมมติฐาน!$C$28*(C$19&gt;=สมมติฐาน!$D$28)+$G6*(C$19&gt;=สมมติฐาน!$D$29))</f>
        <v>1730000</v>
      </c>
      <c r="D20" s="17" t="n">
        <f aca="false">สมมติฐาน!$C$15+$C6*(D$19&gt;=สมมติฐาน!$C$13)+$D6*(D$19&gt;=$E6)-IF($H6=0,สมมติฐาน!$C$21*D$19,สมมติฐาน!$C$21*((1+$H6)^D$19-1)/$H6)-(สมมติฐาน!$C$26*(D$19&gt;=สมมติฐาน!$D$26)+$F6*(D$19&gt;=สมมติฐาน!$D$27)+สมมติฐาน!$C$28*(D$19&gt;=สมมติฐาน!$D$28)+$G6*(D$19&gt;=สมมติฐาน!$D$29))</f>
        <v>1130000</v>
      </c>
      <c r="E20" s="17" t="n">
        <f aca="false">สมมติฐาน!$C$15+$C6*(E$19&gt;=สมมติฐาน!$C$13)+$D6*(E$19&gt;=$E6)-IF($H6=0,สมมติฐาน!$C$21*E$19,สมมติฐาน!$C$21*((1+$H6)^E$19-1)/$H6)-(สมมติฐาน!$C$26*(E$19&gt;=สมมติฐาน!$D$26)+$F6*(E$19&gt;=สมมติฐาน!$D$27)+สมมติฐาน!$C$28*(E$19&gt;=สมมติฐาน!$D$28)+$G6*(E$19&gt;=สมมติฐาน!$D$29))</f>
        <v>980000</v>
      </c>
      <c r="F20" s="17" t="n">
        <f aca="false">สมมติฐาน!$C$15+$C6*(F$19&gt;=สมมติฐาน!$C$13)+$D6*(F$19&gt;=$E6)-IF($H6=0,สมมติฐาน!$C$21*F$19,สมมติฐาน!$C$21*((1+$H6)^F$19-1)/$H6)-(สมมติฐาน!$C$26*(F$19&gt;=สมมติฐาน!$D$26)+$F6*(F$19&gt;=สมมติฐาน!$D$27)+สมมติฐาน!$C$28*(F$19&gt;=สมมติฐาน!$D$28)+$G6*(F$19&gt;=สมมติฐาน!$D$29))</f>
        <v>830000</v>
      </c>
      <c r="G20" s="17" t="n">
        <f aca="false">สมมติฐาน!$C$15+$C6*(G$19&gt;=สมมติฐาน!$C$13)+$D6*(G$19&gt;=$E6)-IF($H6=0,สมมติฐาน!$C$21*G$19,สมมติฐาน!$C$21*((1+$H6)^G$19-1)/$H6)-(สมมติฐาน!$C$26*(G$19&gt;=สมมติฐาน!$D$26)+$F6*(G$19&gt;=สมมติฐาน!$D$27)+สมมติฐาน!$C$28*(G$19&gt;=สมมติฐาน!$D$28)+$G6*(G$19&gt;=สมมติฐาน!$D$29))</f>
        <v>680000</v>
      </c>
      <c r="H20" s="17" t="n">
        <f aca="false">สมมติฐาน!$C$15+$C6*(H$19&gt;=สมมติฐาน!$C$13)+$D6*(H$19&gt;=$E6)-IF($H6=0,สมมติฐาน!$C$21*H$19,สมมติฐาน!$C$21*((1+$H6)^H$19-1)/$H6)-(สมมติฐาน!$C$26*(H$19&gt;=สมมติฐาน!$D$26)+$F6*(H$19&gt;=สมมติฐาน!$D$27)+สมมติฐาน!$C$28*(H$19&gt;=สมมติฐาน!$D$28)+$G6*(H$19&gt;=สมมติฐาน!$D$29))</f>
        <v>380000</v>
      </c>
      <c r="I20" s="17" t="n">
        <f aca="false">สมมติฐาน!$C$15+$C6*(I$19&gt;=สมมติฐาน!$C$13)+$D6*(I$19&gt;=$E6)-IF($H6=0,สมมติฐาน!$C$21*I$19,สมมติฐาน!$C$21*((1+$H6)^I$19-1)/$H6)-(สมมติฐาน!$C$26*(I$19&gt;=สมมติฐาน!$D$26)+$F6*(I$19&gt;=สมมติฐาน!$D$27)+สมมติฐาน!$C$28*(I$19&gt;=สมมติฐาน!$D$28)+$G6*(I$19&gt;=สมมติฐาน!$D$29))</f>
        <v>1230000</v>
      </c>
      <c r="J20" s="17" t="n">
        <f aca="false">สมมติฐาน!$C$15+$C6*(J$19&gt;=สมมติฐาน!$C$13)+$D6*(J$19&gt;=$E6)-IF($H6=0,สมมติฐาน!$C$21*J$19,สมมติฐาน!$C$21*((1+$H6)^J$19-1)/$H6)-(สมมติฐาน!$C$26*(J$19&gt;=สมมติฐาน!$D$26)+$F6*(J$19&gt;=สมมติฐาน!$D$27)+สมมติฐาน!$C$28*(J$19&gt;=สมมติฐาน!$D$28)+$G6*(J$19&gt;=สมมติฐาน!$D$29))</f>
        <v>1080000</v>
      </c>
      <c r="K20" s="17" t="n">
        <f aca="false">สมมติฐาน!$C$15+$C6*(K$19&gt;=สมมติฐาน!$C$13)+$D6*(K$19&gt;=$E6)-IF($H6=0,สมมติฐาน!$C$21*K$19,สมมติฐาน!$C$21*((1+$H6)^K$19-1)/$H6)-(สมมติฐาน!$C$26*(K$19&gt;=สมมติฐาน!$D$26)+$F6*(K$19&gt;=สมมติฐาน!$D$27)+สมมติฐาน!$C$28*(K$19&gt;=สมมติฐาน!$D$28)+$G6*(K$19&gt;=สมมติฐาน!$D$29))</f>
        <v>690000</v>
      </c>
      <c r="L20" s="17" t="n">
        <f aca="false">สมมติฐาน!$C$15+$C6*(L$19&gt;=สมมติฐาน!$C$13)+$D6*(L$19&gt;=$E6)-IF($H6=0,สมมติฐาน!$C$21*L$19,สมมติฐาน!$C$21*((1+$H6)^L$19-1)/$H6)-(สมมติฐาน!$C$26*(L$19&gt;=สมมติฐาน!$D$26)+$F6*(L$19&gt;=สมมติฐาน!$D$27)+สมมติฐาน!$C$28*(L$19&gt;=สมมติฐาน!$D$28)+$G6*(L$19&gt;=สมมติฐาน!$D$29))</f>
        <v>540000</v>
      </c>
      <c r="M20" s="17" t="n">
        <f aca="false">สมมติฐาน!$C$15+$C6*(M$19&gt;=สมมติฐาน!$C$13)+$D6*(M$19&gt;=$E6)-IF($H6=0,สมมติฐาน!$C$21*M$19,สมมติฐาน!$C$21*((1+$H6)^M$19-1)/$H6)-(สมมติฐาน!$C$26*(M$19&gt;=สมมติฐาน!$D$26)+$F6*(M$19&gt;=สมมติฐาน!$D$27)+สมมติฐาน!$C$28*(M$19&gt;=สมมติฐาน!$D$28)+$G6*(M$19&gt;=สมมติฐาน!$D$29))</f>
        <v>390000</v>
      </c>
      <c r="N20" s="17" t="n">
        <f aca="false">สมมติฐาน!$C$15+$C6*(N$19&gt;=สมมติฐาน!$C$13)+$D6*(N$19&gt;=$E6)-IF($H6=0,สมมติฐาน!$C$21*N$19,สมมติฐาน!$C$21*((1+$H6)^N$19-1)/$H6)-(สมมติฐาน!$C$26*(N$19&gt;=สมมติฐาน!$D$26)+$F6*(N$19&gt;=สมมติฐาน!$D$27)+สมมติฐาน!$C$28*(N$19&gt;=สมมติฐาน!$D$28)+$G6*(N$19&gt;=สมมติฐาน!$D$29))</f>
        <v>240000</v>
      </c>
      <c r="O20" s="17" t="n">
        <f aca="false">สมมติฐาน!$C$15+$C6*(O$19&gt;=สมมติฐาน!$C$13)+$D6*(O$19&gt;=$E6)-IF($H6=0,สมมติฐาน!$C$21*O$19,สมมติฐาน!$C$21*((1+$H6)^O$19-1)/$H6)-(สมมติฐาน!$C$26*(O$19&gt;=สมมติฐาน!$D$26)+$F6*(O$19&gt;=สมมติฐาน!$D$27)+สมมติฐาน!$C$28*(O$19&gt;=สมมติฐาน!$D$28)+$G6*(O$19&gt;=สมมติฐาน!$D$29))</f>
        <v>90000</v>
      </c>
      <c r="P20" s="17" t="n">
        <f aca="false">สมมติฐาน!$C$15+$C6*(P$19&gt;=สมมติฐาน!$C$13)+$D6*(P$19&gt;=$E6)-IF($H6=0,สมมติฐาน!$C$21*P$19,สมมติฐาน!$C$21*((1+$H6)^P$19-1)/$H6)-(สมมติฐาน!$C$26*(P$19&gt;=สมมติฐาน!$D$26)+$F6*(P$19&gt;=สมมติฐาน!$D$27)+สมมติฐาน!$C$28*(P$19&gt;=สมมติฐาน!$D$28)+$G6*(P$19&gt;=สมมติฐาน!$D$29))</f>
        <v>-60000</v>
      </c>
      <c r="Q20" s="17" t="n">
        <f aca="false">สมมติฐาน!$C$15+$C6*(Q$19&gt;=สมมติฐาน!$C$13)+$D6*(Q$19&gt;=$E6)-IF($H6=0,สมมติฐาน!$C$21*Q$19,สมมติฐาน!$C$21*((1+$H6)^Q$19-1)/$H6)-(สมมติฐาน!$C$26*(Q$19&gt;=สมมติฐาน!$D$26)+$F6*(Q$19&gt;=สมมติฐาน!$D$27)+สมมติฐาน!$C$28*(Q$19&gt;=สมมติฐาน!$D$28)+$G6*(Q$19&gt;=สมมติฐาน!$D$29))</f>
        <v>-210000</v>
      </c>
      <c r="R20" s="17" t="n">
        <f aca="false">สมมติฐาน!$C$15+$C6*(R$19&gt;=สมมติฐาน!$C$13)+$D6*(R$19&gt;=$E6)-IF($H6=0,สมมติฐาน!$C$21*R$19,สมมติฐาน!$C$21*((1+$H6)^R$19-1)/$H6)-(สมมติฐาน!$C$26*(R$19&gt;=สมมติฐาน!$D$26)+$F6*(R$19&gt;=สมมติฐาน!$D$27)+สมมติฐาน!$C$28*(R$19&gt;=สมมติฐาน!$D$28)+$G6*(R$19&gt;=สมมติฐาน!$D$29))</f>
        <v>-360000</v>
      </c>
      <c r="S20" s="17" t="n">
        <f aca="false">สมมติฐาน!$C$15+$C6*(S$19&gt;=สมมติฐาน!$C$13)+$D6*(S$19&gt;=$E6)-IF($H6=0,สมมติฐาน!$C$21*S$19,สมมติฐาน!$C$21*((1+$H6)^S$19-1)/$H6)-(สมมติฐาน!$C$26*(S$19&gt;=สมมติฐาน!$D$26)+$F6*(S$19&gt;=สมมติฐาน!$D$27)+สมมติฐาน!$C$28*(S$19&gt;=สมมติฐาน!$D$28)+$G6*(S$19&gt;=สมมติฐาน!$D$29))</f>
        <v>-510000</v>
      </c>
      <c r="T20" s="17" t="n">
        <f aca="false">สมมติฐาน!$C$15+$C6*(T$19&gt;=สมมติฐาน!$C$13)+$D6*(T$19&gt;=$E6)-IF($H6=0,สมมติฐาน!$C$21*T$19,สมมติฐาน!$C$21*((1+$H6)^T$19-1)/$H6)-(สมมติฐาน!$C$26*(T$19&gt;=สมมติฐาน!$D$26)+$F6*(T$19&gt;=สมมติฐาน!$D$27)+สมมติฐาน!$C$28*(T$19&gt;=สมมติฐาน!$D$28)+$G6*(T$19&gt;=สมมติฐาน!$D$29))</f>
        <v>-660000</v>
      </c>
      <c r="U20" s="17" t="n">
        <f aca="false">สมมติฐาน!$C$15+$C6*(U$19&gt;=สมมติฐาน!$C$13)+$D6*(U$19&gt;=$E6)-IF($H6=0,สมมติฐาน!$C$21*U$19,สมมติฐาน!$C$21*((1+$H6)^U$19-1)/$H6)-(สมมติฐาน!$C$26*(U$19&gt;=สมมติฐาน!$D$26)+$F6*(U$19&gt;=สมมติฐาน!$D$27)+สมมติฐาน!$C$28*(U$19&gt;=สมมติฐาน!$D$28)+$G6*(U$19&gt;=สมมติฐาน!$D$29))</f>
        <v>-810000</v>
      </c>
      <c r="V20" s="17" t="n">
        <f aca="false">สมมติฐาน!$C$15+$C6*(V$19&gt;=สมมติฐาน!$C$13)+$D6*(V$19&gt;=$E6)-IF($H6=0,สมมติฐาน!$C$21*V$19,สมมติฐาน!$C$21*((1+$H6)^V$19-1)/$H6)-(สมมติฐาน!$C$26*(V$19&gt;=สมมติฐาน!$D$26)+$F6*(V$19&gt;=สมมติฐาน!$D$27)+สมมติฐาน!$C$28*(V$19&gt;=สมมติฐาน!$D$28)+$G6*(V$19&gt;=สมมติฐาน!$D$29))</f>
        <v>-960000</v>
      </c>
      <c r="W20" s="17" t="n">
        <f aca="false">สมมติฐาน!$C$15+$C6*(W$19&gt;=สมมติฐาน!$C$13)+$D6*(W$19&gt;=$E6)-IF($H6=0,สมมติฐาน!$C$21*W$19,สมมติฐาน!$C$21*((1+$H6)^W$19-1)/$H6)-(สมมติฐาน!$C$26*(W$19&gt;=สมมติฐาน!$D$26)+$F6*(W$19&gt;=สมมติฐาน!$D$27)+สมมติฐาน!$C$28*(W$19&gt;=สมมติฐาน!$D$28)+$G6*(W$19&gt;=สมมติฐาน!$D$29))</f>
        <v>-1110000</v>
      </c>
      <c r="X20" s="17" t="n">
        <f aca="false">สมมติฐาน!$C$15+$C6*(X$19&gt;=สมมติฐาน!$C$13)+$D6*(X$19&gt;=$E6)-IF($H6=0,สมมติฐาน!$C$21*X$19,สมมติฐาน!$C$21*((1+$H6)^X$19-1)/$H6)-(สมมติฐาน!$C$26*(X$19&gt;=สมมติฐาน!$D$26)+$F6*(X$19&gt;=สมมติฐาน!$D$27)+สมมติฐาน!$C$28*(X$19&gt;=สมมติฐาน!$D$28)+$G6*(X$19&gt;=สมมติฐาน!$D$29))</f>
        <v>-1260000</v>
      </c>
      <c r="Y20" s="17" t="n">
        <f aca="false">สมมติฐาน!$C$15+$C6*(Y$19&gt;=สมมติฐาน!$C$13)+$D6*(Y$19&gt;=$E6)-IF($H6=0,สมมติฐาน!$C$21*Y$19,สมมติฐาน!$C$21*((1+$H6)^Y$19-1)/$H6)-(สมมติฐาน!$C$26*(Y$19&gt;=สมมติฐาน!$D$26)+$F6*(Y$19&gt;=สมมติฐาน!$D$27)+สมมติฐาน!$C$28*(Y$19&gt;=สมมติฐาน!$D$28)+$G6*(Y$19&gt;=สมมติฐาน!$D$29))</f>
        <v>-1410000</v>
      </c>
      <c r="Z20" s="17" t="n">
        <f aca="false">สมมติฐาน!$C$15+$C6*(Z$19&gt;=สมมติฐาน!$C$13)+$D6*(Z$19&gt;=$E6)-IF($H6=0,สมมติฐาน!$C$21*Z$19,สมมติฐาน!$C$21*((1+$H6)^Z$19-1)/$H6)-(สมมติฐาน!$C$26*(Z$19&gt;=สมมติฐาน!$D$26)+$F6*(Z$19&gt;=สมมติฐาน!$D$27)+สมมติฐาน!$C$28*(Z$19&gt;=สมมติฐาน!$D$28)+$G6*(Z$19&gt;=สมมติฐาน!$D$29))</f>
        <v>-1560000</v>
      </c>
    </row>
    <row r="21" customFormat="false" ht="15" hidden="false" customHeight="false" outlineLevel="0" collapsed="false">
      <c r="B21" s="4" t="str">
        <f aca="false">B7</f>
        <v>ได้เฉพาะงวดที่ 1 (ไม่ปลดงวดที่ 2)</v>
      </c>
      <c r="C21" s="17" t="n">
        <f aca="false">สมมติฐาน!$C$15+$C7*(C$19&gt;=สมมติฐาน!$C$13)+$D7*(C$19&gt;=$E7)-IF($H7=0,สมมติฐาน!$C$21*C$19,สมมติฐาน!$C$21*((1+$H7)^C$19-1)/$H7)-(สมมติฐาน!$C$26*(C$19&gt;=สมมติฐาน!$D$26)+$F7*(C$19&gt;=สมมติฐาน!$D$27)+สมมติฐาน!$C$28*(C$19&gt;=สมมติฐาน!$D$28)+$G7*(C$19&gt;=สมมติฐาน!$D$29))</f>
        <v>1730000</v>
      </c>
      <c r="D21" s="17" t="n">
        <f aca="false">สมมติฐาน!$C$15+$C7*(D$19&gt;=สมมติฐาน!$C$13)+$D7*(D$19&gt;=$E7)-IF($H7=0,สมมติฐาน!$C$21*D$19,สมมติฐาน!$C$21*((1+$H7)^D$19-1)/$H7)-(สมมติฐาน!$C$26*(D$19&gt;=สมมติฐาน!$D$26)+$F7*(D$19&gt;=สมมติฐาน!$D$27)+สมมติฐาน!$C$28*(D$19&gt;=สมมติฐาน!$D$28)+$G7*(D$19&gt;=สมมติฐาน!$D$29))</f>
        <v>1130000</v>
      </c>
      <c r="E21" s="17" t="n">
        <f aca="false">สมมติฐาน!$C$15+$C7*(E$19&gt;=สมมติฐาน!$C$13)+$D7*(E$19&gt;=$E7)-IF($H7=0,สมมติฐาน!$C$21*E$19,สมมติฐาน!$C$21*((1+$H7)^E$19-1)/$H7)-(สมมติฐาน!$C$26*(E$19&gt;=สมมติฐาน!$D$26)+$F7*(E$19&gt;=สมมติฐาน!$D$27)+สมมติฐาน!$C$28*(E$19&gt;=สมมติฐาน!$D$28)+$G7*(E$19&gt;=สมมติฐาน!$D$29))</f>
        <v>980000</v>
      </c>
      <c r="F21" s="17" t="n">
        <f aca="false">สมมติฐาน!$C$15+$C7*(F$19&gt;=สมมติฐาน!$C$13)+$D7*(F$19&gt;=$E7)-IF($H7=0,สมมติฐาน!$C$21*F$19,สมมติฐาน!$C$21*((1+$H7)^F$19-1)/$H7)-(สมมติฐาน!$C$26*(F$19&gt;=สมมติฐาน!$D$26)+$F7*(F$19&gt;=สมมติฐาน!$D$27)+สมมติฐาน!$C$28*(F$19&gt;=สมมติฐาน!$D$28)+$G7*(F$19&gt;=สมมติฐาน!$D$29))</f>
        <v>830000</v>
      </c>
      <c r="G21" s="17" t="n">
        <f aca="false">สมมติฐาน!$C$15+$C7*(G$19&gt;=สมมติฐาน!$C$13)+$D7*(G$19&gt;=$E7)-IF($H7=0,สมมติฐาน!$C$21*G$19,สมมติฐาน!$C$21*((1+$H7)^G$19-1)/$H7)-(สมมติฐาน!$C$26*(G$19&gt;=สมมติฐาน!$D$26)+$F7*(G$19&gt;=สมมติฐาน!$D$27)+สมมติฐาน!$C$28*(G$19&gt;=สมมติฐาน!$D$28)+$G7*(G$19&gt;=สมมติฐาน!$D$29))</f>
        <v>680000</v>
      </c>
      <c r="H21" s="17" t="n">
        <f aca="false">สมมติฐาน!$C$15+$C7*(H$19&gt;=สมมติฐาน!$C$13)+$D7*(H$19&gt;=$E7)-IF($H7=0,สมมติฐาน!$C$21*H$19,สมมติฐาน!$C$21*((1+$H7)^H$19-1)/$H7)-(สมมติฐาน!$C$26*(H$19&gt;=สมมติฐาน!$D$26)+$F7*(H$19&gt;=สมมติฐาน!$D$27)+สมมติฐาน!$C$28*(H$19&gt;=สมมติฐาน!$D$28)+$G7*(H$19&gt;=สมมติฐาน!$D$29))</f>
        <v>380000</v>
      </c>
      <c r="I21" s="17" t="n">
        <f aca="false">สมมติฐาน!$C$15+$C7*(I$19&gt;=สมมติฐาน!$C$13)+$D7*(I$19&gt;=$E7)-IF($H7=0,สมมติฐาน!$C$21*I$19,สมมติฐาน!$C$21*((1+$H7)^I$19-1)/$H7)-(สมมติฐาน!$C$26*(I$19&gt;=สมมติฐาน!$D$26)+$F7*(I$19&gt;=สมมติฐาน!$D$27)+สมมติฐาน!$C$28*(I$19&gt;=สมมติฐาน!$D$28)+$G7*(I$19&gt;=สมมติฐาน!$D$29))</f>
        <v>230000</v>
      </c>
      <c r="J21" s="17" t="n">
        <f aca="false">สมมติฐาน!$C$15+$C7*(J$19&gt;=สมมติฐาน!$C$13)+$D7*(J$19&gt;=$E7)-IF($H7=0,สมมติฐาน!$C$21*J$19,สมมติฐาน!$C$21*((1+$H7)^J$19-1)/$H7)-(สมมติฐาน!$C$26*(J$19&gt;=สมมติฐาน!$D$26)+$F7*(J$19&gt;=สมมติฐาน!$D$27)+สมมติฐาน!$C$28*(J$19&gt;=สมมติฐาน!$D$28)+$G7*(J$19&gt;=สมมติฐาน!$D$29))</f>
        <v>80000</v>
      </c>
      <c r="K21" s="17" t="n">
        <f aca="false">สมมติฐาน!$C$15+$C7*(K$19&gt;=สมมติฐาน!$C$13)+$D7*(K$19&gt;=$E7)-IF($H7=0,สมมติฐาน!$C$21*K$19,สมมติฐาน!$C$21*((1+$H7)^K$19-1)/$H7)-(สมมติฐาน!$C$26*(K$19&gt;=สมมติฐาน!$D$26)+$F7*(K$19&gt;=สมมติฐาน!$D$27)+สมมติฐาน!$C$28*(K$19&gt;=สมมติฐาน!$D$28)+$G7*(K$19&gt;=สมมติฐาน!$D$29))</f>
        <v>-310000</v>
      </c>
      <c r="L21" s="17" t="n">
        <f aca="false">สมมติฐาน!$C$15+$C7*(L$19&gt;=สมมติฐาน!$C$13)+$D7*(L$19&gt;=$E7)-IF($H7=0,สมมติฐาน!$C$21*L$19,สมมติฐาน!$C$21*((1+$H7)^L$19-1)/$H7)-(สมมติฐาน!$C$26*(L$19&gt;=สมมติฐาน!$D$26)+$F7*(L$19&gt;=สมมติฐาน!$D$27)+สมมติฐาน!$C$28*(L$19&gt;=สมมติฐาน!$D$28)+$G7*(L$19&gt;=สมมติฐาน!$D$29))</f>
        <v>-460000</v>
      </c>
      <c r="M21" s="17" t="n">
        <f aca="false">สมมติฐาน!$C$15+$C7*(M$19&gt;=สมมติฐาน!$C$13)+$D7*(M$19&gt;=$E7)-IF($H7=0,สมมติฐาน!$C$21*M$19,สมมติฐาน!$C$21*((1+$H7)^M$19-1)/$H7)-(สมมติฐาน!$C$26*(M$19&gt;=สมมติฐาน!$D$26)+$F7*(M$19&gt;=สมมติฐาน!$D$27)+สมมติฐาน!$C$28*(M$19&gt;=สมมติฐาน!$D$28)+$G7*(M$19&gt;=สมมติฐาน!$D$29))</f>
        <v>-610000</v>
      </c>
      <c r="N21" s="17" t="n">
        <f aca="false">สมมติฐาน!$C$15+$C7*(N$19&gt;=สมมติฐาน!$C$13)+$D7*(N$19&gt;=$E7)-IF($H7=0,สมมติฐาน!$C$21*N$19,สมมติฐาน!$C$21*((1+$H7)^N$19-1)/$H7)-(สมมติฐาน!$C$26*(N$19&gt;=สมมติฐาน!$D$26)+$F7*(N$19&gt;=สมมติฐาน!$D$27)+สมมติฐาน!$C$28*(N$19&gt;=สมมติฐาน!$D$28)+$G7*(N$19&gt;=สมมติฐาน!$D$29))</f>
        <v>-760000</v>
      </c>
      <c r="O21" s="17" t="n">
        <f aca="false">สมมติฐาน!$C$15+$C7*(O$19&gt;=สมมติฐาน!$C$13)+$D7*(O$19&gt;=$E7)-IF($H7=0,สมมติฐาน!$C$21*O$19,สมมติฐาน!$C$21*((1+$H7)^O$19-1)/$H7)-(สมมติฐาน!$C$26*(O$19&gt;=สมมติฐาน!$D$26)+$F7*(O$19&gt;=สมมติฐาน!$D$27)+สมมติฐาน!$C$28*(O$19&gt;=สมมติฐาน!$D$28)+$G7*(O$19&gt;=สมมติฐาน!$D$29))</f>
        <v>-910000</v>
      </c>
      <c r="P21" s="17" t="n">
        <f aca="false">สมมติฐาน!$C$15+$C7*(P$19&gt;=สมมติฐาน!$C$13)+$D7*(P$19&gt;=$E7)-IF($H7=0,สมมติฐาน!$C$21*P$19,สมมติฐาน!$C$21*((1+$H7)^P$19-1)/$H7)-(สมมติฐาน!$C$26*(P$19&gt;=สมมติฐาน!$D$26)+$F7*(P$19&gt;=สมมติฐาน!$D$27)+สมมติฐาน!$C$28*(P$19&gt;=สมมติฐาน!$D$28)+$G7*(P$19&gt;=สมมติฐาน!$D$29))</f>
        <v>-1060000</v>
      </c>
      <c r="Q21" s="17" t="n">
        <f aca="false">สมมติฐาน!$C$15+$C7*(Q$19&gt;=สมมติฐาน!$C$13)+$D7*(Q$19&gt;=$E7)-IF($H7=0,สมมติฐาน!$C$21*Q$19,สมมติฐาน!$C$21*((1+$H7)^Q$19-1)/$H7)-(สมมติฐาน!$C$26*(Q$19&gt;=สมมติฐาน!$D$26)+$F7*(Q$19&gt;=สมมติฐาน!$D$27)+สมมติฐาน!$C$28*(Q$19&gt;=สมมติฐาน!$D$28)+$G7*(Q$19&gt;=สมมติฐาน!$D$29))</f>
        <v>-1210000</v>
      </c>
      <c r="R21" s="17" t="n">
        <f aca="false">สมมติฐาน!$C$15+$C7*(R$19&gt;=สมมติฐาน!$C$13)+$D7*(R$19&gt;=$E7)-IF($H7=0,สมมติฐาน!$C$21*R$19,สมมติฐาน!$C$21*((1+$H7)^R$19-1)/$H7)-(สมมติฐาน!$C$26*(R$19&gt;=สมมติฐาน!$D$26)+$F7*(R$19&gt;=สมมติฐาน!$D$27)+สมมติฐาน!$C$28*(R$19&gt;=สมมติฐาน!$D$28)+$G7*(R$19&gt;=สมมติฐาน!$D$29))</f>
        <v>-1360000</v>
      </c>
      <c r="S21" s="17" t="n">
        <f aca="false">สมมติฐาน!$C$15+$C7*(S$19&gt;=สมมติฐาน!$C$13)+$D7*(S$19&gt;=$E7)-IF($H7=0,สมมติฐาน!$C$21*S$19,สมมติฐาน!$C$21*((1+$H7)^S$19-1)/$H7)-(สมมติฐาน!$C$26*(S$19&gt;=สมมติฐาน!$D$26)+$F7*(S$19&gt;=สมมติฐาน!$D$27)+สมมติฐาน!$C$28*(S$19&gt;=สมมติฐาน!$D$28)+$G7*(S$19&gt;=สมมติฐาน!$D$29))</f>
        <v>-1510000</v>
      </c>
      <c r="T21" s="17" t="n">
        <f aca="false">สมมติฐาน!$C$15+$C7*(T$19&gt;=สมมติฐาน!$C$13)+$D7*(T$19&gt;=$E7)-IF($H7=0,สมมติฐาน!$C$21*T$19,สมมติฐาน!$C$21*((1+$H7)^T$19-1)/$H7)-(สมมติฐาน!$C$26*(T$19&gt;=สมมติฐาน!$D$26)+$F7*(T$19&gt;=สมมติฐาน!$D$27)+สมมติฐาน!$C$28*(T$19&gt;=สมมติฐาน!$D$28)+$G7*(T$19&gt;=สมมติฐาน!$D$29))</f>
        <v>-1660000</v>
      </c>
      <c r="U21" s="17" t="n">
        <f aca="false">สมมติฐาน!$C$15+$C7*(U$19&gt;=สมมติฐาน!$C$13)+$D7*(U$19&gt;=$E7)-IF($H7=0,สมมติฐาน!$C$21*U$19,สมมติฐาน!$C$21*((1+$H7)^U$19-1)/$H7)-(สมมติฐาน!$C$26*(U$19&gt;=สมมติฐาน!$D$26)+$F7*(U$19&gt;=สมมติฐาน!$D$27)+สมมติฐาน!$C$28*(U$19&gt;=สมมติฐาน!$D$28)+$G7*(U$19&gt;=สมมติฐาน!$D$29))</f>
        <v>-1810000</v>
      </c>
      <c r="V21" s="17" t="n">
        <f aca="false">สมมติฐาน!$C$15+$C7*(V$19&gt;=สมมติฐาน!$C$13)+$D7*(V$19&gt;=$E7)-IF($H7=0,สมมติฐาน!$C$21*V$19,สมมติฐาน!$C$21*((1+$H7)^V$19-1)/$H7)-(สมมติฐาน!$C$26*(V$19&gt;=สมมติฐาน!$D$26)+$F7*(V$19&gt;=สมมติฐาน!$D$27)+สมมติฐาน!$C$28*(V$19&gt;=สมมติฐาน!$D$28)+$G7*(V$19&gt;=สมมติฐาน!$D$29))</f>
        <v>-1960000</v>
      </c>
      <c r="W21" s="17" t="n">
        <f aca="false">สมมติฐาน!$C$15+$C7*(W$19&gt;=สมมติฐาน!$C$13)+$D7*(W$19&gt;=$E7)-IF($H7=0,สมมติฐาน!$C$21*W$19,สมมติฐาน!$C$21*((1+$H7)^W$19-1)/$H7)-(สมมติฐาน!$C$26*(W$19&gt;=สมมติฐาน!$D$26)+$F7*(W$19&gt;=สมมติฐาน!$D$27)+สมมติฐาน!$C$28*(W$19&gt;=สมมติฐาน!$D$28)+$G7*(W$19&gt;=สมมติฐาน!$D$29))</f>
        <v>-2110000</v>
      </c>
      <c r="X21" s="17" t="n">
        <f aca="false">สมมติฐาน!$C$15+$C7*(X$19&gt;=สมมติฐาน!$C$13)+$D7*(X$19&gt;=$E7)-IF($H7=0,สมมติฐาน!$C$21*X$19,สมมติฐาน!$C$21*((1+$H7)^X$19-1)/$H7)-(สมมติฐาน!$C$26*(X$19&gt;=สมมติฐาน!$D$26)+$F7*(X$19&gt;=สมมติฐาน!$D$27)+สมมติฐาน!$C$28*(X$19&gt;=สมมติฐาน!$D$28)+$G7*(X$19&gt;=สมมติฐาน!$D$29))</f>
        <v>-2260000</v>
      </c>
      <c r="Y21" s="17" t="n">
        <f aca="false">สมมติฐาน!$C$15+$C7*(Y$19&gt;=สมมติฐาน!$C$13)+$D7*(Y$19&gt;=$E7)-IF($H7=0,สมมติฐาน!$C$21*Y$19,สมมติฐาน!$C$21*((1+$H7)^Y$19-1)/$H7)-(สมมติฐาน!$C$26*(Y$19&gt;=สมมติฐาน!$D$26)+$F7*(Y$19&gt;=สมมติฐาน!$D$27)+สมมติฐาน!$C$28*(Y$19&gt;=สมมติฐาน!$D$28)+$G7*(Y$19&gt;=สมมติฐาน!$D$29))</f>
        <v>-2410000</v>
      </c>
      <c r="Z21" s="17" t="n">
        <f aca="false">สมมติฐาน!$C$15+$C7*(Z$19&gt;=สมมติฐาน!$C$13)+$D7*(Z$19&gt;=$E7)-IF($H7=0,สมมติฐาน!$C$21*Z$19,สมมติฐาน!$C$21*((1+$H7)^Z$19-1)/$H7)-(สมมติฐาน!$C$26*(Z$19&gt;=สมมติฐาน!$D$26)+$F7*(Z$19&gt;=สมมติฐาน!$D$27)+สมมติฐาน!$C$28*(Z$19&gt;=สมมติฐาน!$D$28)+$G7*(Z$19&gt;=สมมติฐาน!$D$29))</f>
        <v>-2560000</v>
      </c>
    </row>
    <row r="22" customFormat="false" ht="15" hidden="false" customHeight="false" outlineLevel="0" collapsed="false">
      <c r="B22" s="4" t="str">
        <f aca="false">B8</f>
        <v>งวดที่ 2 ล่าช้า 1 เดือน</v>
      </c>
      <c r="C22" s="17" t="n">
        <f aca="false">สมมติฐาน!$C$15+$C8*(C$19&gt;=สมมติฐาน!$C$13)+$D8*(C$19&gt;=$E8)-IF($H8=0,สมมติฐาน!$C$21*C$19,สมมติฐาน!$C$21*((1+$H8)^C$19-1)/$H8)-(สมมติฐาน!$C$26*(C$19&gt;=สมมติฐาน!$D$26)+$F8*(C$19&gt;=สมมติฐาน!$D$27)+สมมติฐาน!$C$28*(C$19&gt;=สมมติฐาน!$D$28)+$G8*(C$19&gt;=สมมติฐาน!$D$29))</f>
        <v>1730000</v>
      </c>
      <c r="D22" s="17" t="n">
        <f aca="false">สมมติฐาน!$C$15+$C8*(D$19&gt;=สมมติฐาน!$C$13)+$D8*(D$19&gt;=$E8)-IF($H8=0,สมมติฐาน!$C$21*D$19,สมมติฐาน!$C$21*((1+$H8)^D$19-1)/$H8)-(สมมติฐาน!$C$26*(D$19&gt;=สมมติฐาน!$D$26)+$F8*(D$19&gt;=สมมติฐาน!$D$27)+สมมติฐาน!$C$28*(D$19&gt;=สมมติฐาน!$D$28)+$G8*(D$19&gt;=สมมติฐาน!$D$29))</f>
        <v>1130000</v>
      </c>
      <c r="E22" s="17" t="n">
        <f aca="false">สมมติฐาน!$C$15+$C8*(E$19&gt;=สมมติฐาน!$C$13)+$D8*(E$19&gt;=$E8)-IF($H8=0,สมมติฐาน!$C$21*E$19,สมมติฐาน!$C$21*((1+$H8)^E$19-1)/$H8)-(สมมติฐาน!$C$26*(E$19&gt;=สมมติฐาน!$D$26)+$F8*(E$19&gt;=สมมติฐาน!$D$27)+สมมติฐาน!$C$28*(E$19&gt;=สมมติฐาน!$D$28)+$G8*(E$19&gt;=สมมติฐาน!$D$29))</f>
        <v>980000</v>
      </c>
      <c r="F22" s="17" t="n">
        <f aca="false">สมมติฐาน!$C$15+$C8*(F$19&gt;=สมมติฐาน!$C$13)+$D8*(F$19&gt;=$E8)-IF($H8=0,สมมติฐาน!$C$21*F$19,สมมติฐาน!$C$21*((1+$H8)^F$19-1)/$H8)-(สมมติฐาน!$C$26*(F$19&gt;=สมมติฐาน!$D$26)+$F8*(F$19&gt;=สมมติฐาน!$D$27)+สมมติฐาน!$C$28*(F$19&gt;=สมมติฐาน!$D$28)+$G8*(F$19&gt;=สมมติฐาน!$D$29))</f>
        <v>830000</v>
      </c>
      <c r="G22" s="17" t="n">
        <f aca="false">สมมติฐาน!$C$15+$C8*(G$19&gt;=สมมติฐาน!$C$13)+$D8*(G$19&gt;=$E8)-IF($H8=0,สมมติฐาน!$C$21*G$19,สมมติฐาน!$C$21*((1+$H8)^G$19-1)/$H8)-(สมมติฐาน!$C$26*(G$19&gt;=สมมติฐาน!$D$26)+$F8*(G$19&gt;=สมมติฐาน!$D$27)+สมมติฐาน!$C$28*(G$19&gt;=สมมติฐาน!$D$28)+$G8*(G$19&gt;=สมมติฐาน!$D$29))</f>
        <v>680000</v>
      </c>
      <c r="H22" s="17" t="n">
        <f aca="false">สมมติฐาน!$C$15+$C8*(H$19&gt;=สมมติฐาน!$C$13)+$D8*(H$19&gt;=$E8)-IF($H8=0,สมมติฐาน!$C$21*H$19,สมมติฐาน!$C$21*((1+$H8)^H$19-1)/$H8)-(สมมติฐาน!$C$26*(H$19&gt;=สมมติฐาน!$D$26)+$F8*(H$19&gt;=สมมติฐาน!$D$27)+สมมติฐาน!$C$28*(H$19&gt;=สมมติฐาน!$D$28)+$G8*(H$19&gt;=สมมติฐาน!$D$29))</f>
        <v>380000</v>
      </c>
      <c r="I22" s="17" t="n">
        <f aca="false">สมมติฐาน!$C$15+$C8*(I$19&gt;=สมมติฐาน!$C$13)+$D8*(I$19&gt;=$E8)-IF($H8=0,สมมติฐาน!$C$21*I$19,สมมติฐาน!$C$21*((1+$H8)^I$19-1)/$H8)-(สมมติฐาน!$C$26*(I$19&gt;=สมมติฐาน!$D$26)+$F8*(I$19&gt;=สมมติฐาน!$D$27)+สมมติฐาน!$C$28*(I$19&gt;=สมมติฐาน!$D$28)+$G8*(I$19&gt;=สมมติฐาน!$D$29))</f>
        <v>230000</v>
      </c>
      <c r="J22" s="17" t="n">
        <f aca="false">สมมติฐาน!$C$15+$C8*(J$19&gt;=สมมติฐาน!$C$13)+$D8*(J$19&gt;=$E8)-IF($H8=0,สมมติฐาน!$C$21*J$19,สมมติฐาน!$C$21*((1+$H8)^J$19-1)/$H8)-(สมมติฐาน!$C$26*(J$19&gt;=สมมติฐาน!$D$26)+$F8*(J$19&gt;=สมมติฐาน!$D$27)+สมมติฐาน!$C$28*(J$19&gt;=สมมติฐาน!$D$28)+$G8*(J$19&gt;=สมมติฐาน!$D$29))</f>
        <v>1080000</v>
      </c>
      <c r="K22" s="17" t="n">
        <f aca="false">สมมติฐาน!$C$15+$C8*(K$19&gt;=สมมติฐาน!$C$13)+$D8*(K$19&gt;=$E8)-IF($H8=0,สมมติฐาน!$C$21*K$19,สมมติฐาน!$C$21*((1+$H8)^K$19-1)/$H8)-(สมมติฐาน!$C$26*(K$19&gt;=สมมติฐาน!$D$26)+$F8*(K$19&gt;=สมมติฐาน!$D$27)+สมมติฐาน!$C$28*(K$19&gt;=สมมติฐาน!$D$28)+$G8*(K$19&gt;=สมมติฐาน!$D$29))</f>
        <v>690000</v>
      </c>
      <c r="L22" s="17" t="n">
        <f aca="false">สมมติฐาน!$C$15+$C8*(L$19&gt;=สมมติฐาน!$C$13)+$D8*(L$19&gt;=$E8)-IF($H8=0,สมมติฐาน!$C$21*L$19,สมมติฐาน!$C$21*((1+$H8)^L$19-1)/$H8)-(สมมติฐาน!$C$26*(L$19&gt;=สมมติฐาน!$D$26)+$F8*(L$19&gt;=สมมติฐาน!$D$27)+สมมติฐาน!$C$28*(L$19&gt;=สมมติฐาน!$D$28)+$G8*(L$19&gt;=สมมติฐาน!$D$29))</f>
        <v>540000</v>
      </c>
      <c r="M22" s="17" t="n">
        <f aca="false">สมมติฐาน!$C$15+$C8*(M$19&gt;=สมมติฐาน!$C$13)+$D8*(M$19&gt;=$E8)-IF($H8=0,สมมติฐาน!$C$21*M$19,สมมติฐาน!$C$21*((1+$H8)^M$19-1)/$H8)-(สมมติฐาน!$C$26*(M$19&gt;=สมมติฐาน!$D$26)+$F8*(M$19&gt;=สมมติฐาน!$D$27)+สมมติฐาน!$C$28*(M$19&gt;=สมมติฐาน!$D$28)+$G8*(M$19&gt;=สมมติฐาน!$D$29))</f>
        <v>390000</v>
      </c>
      <c r="N22" s="17" t="n">
        <f aca="false">สมมติฐาน!$C$15+$C8*(N$19&gt;=สมมติฐาน!$C$13)+$D8*(N$19&gt;=$E8)-IF($H8=0,สมมติฐาน!$C$21*N$19,สมมติฐาน!$C$21*((1+$H8)^N$19-1)/$H8)-(สมมติฐาน!$C$26*(N$19&gt;=สมมติฐาน!$D$26)+$F8*(N$19&gt;=สมมติฐาน!$D$27)+สมมติฐาน!$C$28*(N$19&gt;=สมมติฐาน!$D$28)+$G8*(N$19&gt;=สมมติฐาน!$D$29))</f>
        <v>240000</v>
      </c>
      <c r="O22" s="17" t="n">
        <f aca="false">สมมติฐาน!$C$15+$C8*(O$19&gt;=สมมติฐาน!$C$13)+$D8*(O$19&gt;=$E8)-IF($H8=0,สมมติฐาน!$C$21*O$19,สมมติฐาน!$C$21*((1+$H8)^O$19-1)/$H8)-(สมมติฐาน!$C$26*(O$19&gt;=สมมติฐาน!$D$26)+$F8*(O$19&gt;=สมมติฐาน!$D$27)+สมมติฐาน!$C$28*(O$19&gt;=สมมติฐาน!$D$28)+$G8*(O$19&gt;=สมมติฐาน!$D$29))</f>
        <v>90000</v>
      </c>
      <c r="P22" s="17" t="n">
        <f aca="false">สมมติฐาน!$C$15+$C8*(P$19&gt;=สมมติฐาน!$C$13)+$D8*(P$19&gt;=$E8)-IF($H8=0,สมมติฐาน!$C$21*P$19,สมมติฐาน!$C$21*((1+$H8)^P$19-1)/$H8)-(สมมติฐาน!$C$26*(P$19&gt;=สมมติฐาน!$D$26)+$F8*(P$19&gt;=สมมติฐาน!$D$27)+สมมติฐาน!$C$28*(P$19&gt;=สมมติฐาน!$D$28)+$G8*(P$19&gt;=สมมติฐาน!$D$29))</f>
        <v>-60000</v>
      </c>
      <c r="Q22" s="17" t="n">
        <f aca="false">สมมติฐาน!$C$15+$C8*(Q$19&gt;=สมมติฐาน!$C$13)+$D8*(Q$19&gt;=$E8)-IF($H8=0,สมมติฐาน!$C$21*Q$19,สมมติฐาน!$C$21*((1+$H8)^Q$19-1)/$H8)-(สมมติฐาน!$C$26*(Q$19&gt;=สมมติฐาน!$D$26)+$F8*(Q$19&gt;=สมมติฐาน!$D$27)+สมมติฐาน!$C$28*(Q$19&gt;=สมมติฐาน!$D$28)+$G8*(Q$19&gt;=สมมติฐาน!$D$29))</f>
        <v>-210000</v>
      </c>
      <c r="R22" s="17" t="n">
        <f aca="false">สมมติฐาน!$C$15+$C8*(R$19&gt;=สมมติฐาน!$C$13)+$D8*(R$19&gt;=$E8)-IF($H8=0,สมมติฐาน!$C$21*R$19,สมมติฐาน!$C$21*((1+$H8)^R$19-1)/$H8)-(สมมติฐาน!$C$26*(R$19&gt;=สมมติฐาน!$D$26)+$F8*(R$19&gt;=สมมติฐาน!$D$27)+สมมติฐาน!$C$28*(R$19&gt;=สมมติฐาน!$D$28)+$G8*(R$19&gt;=สมมติฐาน!$D$29))</f>
        <v>-360000</v>
      </c>
      <c r="S22" s="17" t="n">
        <f aca="false">สมมติฐาน!$C$15+$C8*(S$19&gt;=สมมติฐาน!$C$13)+$D8*(S$19&gt;=$E8)-IF($H8=0,สมมติฐาน!$C$21*S$19,สมมติฐาน!$C$21*((1+$H8)^S$19-1)/$H8)-(สมมติฐาน!$C$26*(S$19&gt;=สมมติฐาน!$D$26)+$F8*(S$19&gt;=สมมติฐาน!$D$27)+สมมติฐาน!$C$28*(S$19&gt;=สมมติฐาน!$D$28)+$G8*(S$19&gt;=สมมติฐาน!$D$29))</f>
        <v>-510000</v>
      </c>
      <c r="T22" s="17" t="n">
        <f aca="false">สมมติฐาน!$C$15+$C8*(T$19&gt;=สมมติฐาน!$C$13)+$D8*(T$19&gt;=$E8)-IF($H8=0,สมมติฐาน!$C$21*T$19,สมมติฐาน!$C$21*((1+$H8)^T$19-1)/$H8)-(สมมติฐาน!$C$26*(T$19&gt;=สมมติฐาน!$D$26)+$F8*(T$19&gt;=สมมติฐาน!$D$27)+สมมติฐาน!$C$28*(T$19&gt;=สมมติฐาน!$D$28)+$G8*(T$19&gt;=สมมติฐาน!$D$29))</f>
        <v>-660000</v>
      </c>
      <c r="U22" s="17" t="n">
        <f aca="false">สมมติฐาน!$C$15+$C8*(U$19&gt;=สมมติฐาน!$C$13)+$D8*(U$19&gt;=$E8)-IF($H8=0,สมมติฐาน!$C$21*U$19,สมมติฐาน!$C$21*((1+$H8)^U$19-1)/$H8)-(สมมติฐาน!$C$26*(U$19&gt;=สมมติฐาน!$D$26)+$F8*(U$19&gt;=สมมติฐาน!$D$27)+สมมติฐาน!$C$28*(U$19&gt;=สมมติฐาน!$D$28)+$G8*(U$19&gt;=สมมติฐาน!$D$29))</f>
        <v>-810000</v>
      </c>
      <c r="V22" s="17" t="n">
        <f aca="false">สมมติฐาน!$C$15+$C8*(V$19&gt;=สมมติฐาน!$C$13)+$D8*(V$19&gt;=$E8)-IF($H8=0,สมมติฐาน!$C$21*V$19,สมมติฐาน!$C$21*((1+$H8)^V$19-1)/$H8)-(สมมติฐาน!$C$26*(V$19&gt;=สมมติฐาน!$D$26)+$F8*(V$19&gt;=สมมติฐาน!$D$27)+สมมติฐาน!$C$28*(V$19&gt;=สมมติฐาน!$D$28)+$G8*(V$19&gt;=สมมติฐาน!$D$29))</f>
        <v>-960000</v>
      </c>
      <c r="W22" s="17" t="n">
        <f aca="false">สมมติฐาน!$C$15+$C8*(W$19&gt;=สมมติฐาน!$C$13)+$D8*(W$19&gt;=$E8)-IF($H8=0,สมมติฐาน!$C$21*W$19,สมมติฐาน!$C$21*((1+$H8)^W$19-1)/$H8)-(สมมติฐาน!$C$26*(W$19&gt;=สมมติฐาน!$D$26)+$F8*(W$19&gt;=สมมติฐาน!$D$27)+สมมติฐาน!$C$28*(W$19&gt;=สมมติฐาน!$D$28)+$G8*(W$19&gt;=สมมติฐาน!$D$29))</f>
        <v>-1110000</v>
      </c>
      <c r="X22" s="17" t="n">
        <f aca="false">สมมติฐาน!$C$15+$C8*(X$19&gt;=สมมติฐาน!$C$13)+$D8*(X$19&gt;=$E8)-IF($H8=0,สมมติฐาน!$C$21*X$19,สมมติฐาน!$C$21*((1+$H8)^X$19-1)/$H8)-(สมมติฐาน!$C$26*(X$19&gt;=สมมติฐาน!$D$26)+$F8*(X$19&gt;=สมมติฐาน!$D$27)+สมมติฐาน!$C$28*(X$19&gt;=สมมติฐาน!$D$28)+$G8*(X$19&gt;=สมมติฐาน!$D$29))</f>
        <v>-1260000</v>
      </c>
      <c r="Y22" s="17" t="n">
        <f aca="false">สมมติฐาน!$C$15+$C8*(Y$19&gt;=สมมติฐาน!$C$13)+$D8*(Y$19&gt;=$E8)-IF($H8=0,สมมติฐาน!$C$21*Y$19,สมมติฐาน!$C$21*((1+$H8)^Y$19-1)/$H8)-(สมมติฐาน!$C$26*(Y$19&gt;=สมมติฐาน!$D$26)+$F8*(Y$19&gt;=สมมติฐาน!$D$27)+สมมติฐาน!$C$28*(Y$19&gt;=สมมติฐาน!$D$28)+$G8*(Y$19&gt;=สมมติฐาน!$D$29))</f>
        <v>-1410000</v>
      </c>
      <c r="Z22" s="17" t="n">
        <f aca="false">สมมติฐาน!$C$15+$C8*(Z$19&gt;=สมมติฐาน!$C$13)+$D8*(Z$19&gt;=$E8)-IF($H8=0,สมมติฐาน!$C$21*Z$19,สมมติฐาน!$C$21*((1+$H8)^Z$19-1)/$H8)-(สมมติฐาน!$C$26*(Z$19&gt;=สมมติฐาน!$D$26)+$F8*(Z$19&gt;=สมมติฐาน!$D$27)+สมมติฐาน!$C$28*(Z$19&gt;=สมมติฐาน!$D$28)+$G8*(Z$19&gt;=สมมติฐาน!$D$29))</f>
        <v>-1560000</v>
      </c>
    </row>
    <row r="23" customFormat="false" ht="15" hidden="false" customHeight="false" outlineLevel="0" collapsed="false">
      <c r="B23" s="4" t="str">
        <f aca="false">B9</f>
        <v>งวดที่ 2 ล่าช้า 2 เดือน</v>
      </c>
      <c r="C23" s="17" t="n">
        <f aca="false">สมมติฐาน!$C$15+$C9*(C$19&gt;=สมมติฐาน!$C$13)+$D9*(C$19&gt;=$E9)-IF($H9=0,สมมติฐาน!$C$21*C$19,สมมติฐาน!$C$21*((1+$H9)^C$19-1)/$H9)-(สมมติฐาน!$C$26*(C$19&gt;=สมมติฐาน!$D$26)+$F9*(C$19&gt;=สมมติฐาน!$D$27)+สมมติฐาน!$C$28*(C$19&gt;=สมมติฐาน!$D$28)+$G9*(C$19&gt;=สมมติฐาน!$D$29))</f>
        <v>1730000</v>
      </c>
      <c r="D23" s="17" t="n">
        <f aca="false">สมมติฐาน!$C$15+$C9*(D$19&gt;=สมมติฐาน!$C$13)+$D9*(D$19&gt;=$E9)-IF($H9=0,สมมติฐาน!$C$21*D$19,สมมติฐาน!$C$21*((1+$H9)^D$19-1)/$H9)-(สมมติฐาน!$C$26*(D$19&gt;=สมมติฐาน!$D$26)+$F9*(D$19&gt;=สมมติฐาน!$D$27)+สมมติฐาน!$C$28*(D$19&gt;=สมมติฐาน!$D$28)+$G9*(D$19&gt;=สมมติฐาน!$D$29))</f>
        <v>1130000</v>
      </c>
      <c r="E23" s="17" t="n">
        <f aca="false">สมมติฐาน!$C$15+$C9*(E$19&gt;=สมมติฐาน!$C$13)+$D9*(E$19&gt;=$E9)-IF($H9=0,สมมติฐาน!$C$21*E$19,สมมติฐาน!$C$21*((1+$H9)^E$19-1)/$H9)-(สมมติฐาน!$C$26*(E$19&gt;=สมมติฐาน!$D$26)+$F9*(E$19&gt;=สมมติฐาน!$D$27)+สมมติฐาน!$C$28*(E$19&gt;=สมมติฐาน!$D$28)+$G9*(E$19&gt;=สมมติฐาน!$D$29))</f>
        <v>980000</v>
      </c>
      <c r="F23" s="17" t="n">
        <f aca="false">สมมติฐาน!$C$15+$C9*(F$19&gt;=สมมติฐาน!$C$13)+$D9*(F$19&gt;=$E9)-IF($H9=0,สมมติฐาน!$C$21*F$19,สมมติฐาน!$C$21*((1+$H9)^F$19-1)/$H9)-(สมมติฐาน!$C$26*(F$19&gt;=สมมติฐาน!$D$26)+$F9*(F$19&gt;=สมมติฐาน!$D$27)+สมมติฐาน!$C$28*(F$19&gt;=สมมติฐาน!$D$28)+$G9*(F$19&gt;=สมมติฐาน!$D$29))</f>
        <v>830000</v>
      </c>
      <c r="G23" s="17" t="n">
        <f aca="false">สมมติฐาน!$C$15+$C9*(G$19&gt;=สมมติฐาน!$C$13)+$D9*(G$19&gt;=$E9)-IF($H9=0,สมมติฐาน!$C$21*G$19,สมมติฐาน!$C$21*((1+$H9)^G$19-1)/$H9)-(สมมติฐาน!$C$26*(G$19&gt;=สมมติฐาน!$D$26)+$F9*(G$19&gt;=สมมติฐาน!$D$27)+สมมติฐาน!$C$28*(G$19&gt;=สมมติฐาน!$D$28)+$G9*(G$19&gt;=สมมติฐาน!$D$29))</f>
        <v>680000</v>
      </c>
      <c r="H23" s="17" t="n">
        <f aca="false">สมมติฐาน!$C$15+$C9*(H$19&gt;=สมมติฐาน!$C$13)+$D9*(H$19&gt;=$E9)-IF($H9=0,สมมติฐาน!$C$21*H$19,สมมติฐาน!$C$21*((1+$H9)^H$19-1)/$H9)-(สมมติฐาน!$C$26*(H$19&gt;=สมมติฐาน!$D$26)+$F9*(H$19&gt;=สมมติฐาน!$D$27)+สมมติฐาน!$C$28*(H$19&gt;=สมมติฐาน!$D$28)+$G9*(H$19&gt;=สมมติฐาน!$D$29))</f>
        <v>380000</v>
      </c>
      <c r="I23" s="17" t="n">
        <f aca="false">สมมติฐาน!$C$15+$C9*(I$19&gt;=สมมติฐาน!$C$13)+$D9*(I$19&gt;=$E9)-IF($H9=0,สมมติฐาน!$C$21*I$19,สมมติฐาน!$C$21*((1+$H9)^I$19-1)/$H9)-(สมมติฐาน!$C$26*(I$19&gt;=สมมติฐาน!$D$26)+$F9*(I$19&gt;=สมมติฐาน!$D$27)+สมมติฐาน!$C$28*(I$19&gt;=สมมติฐาน!$D$28)+$G9*(I$19&gt;=สมมติฐาน!$D$29))</f>
        <v>230000</v>
      </c>
      <c r="J23" s="17" t="n">
        <f aca="false">สมมติฐาน!$C$15+$C9*(J$19&gt;=สมมติฐาน!$C$13)+$D9*(J$19&gt;=$E9)-IF($H9=0,สมมติฐาน!$C$21*J$19,สมมติฐาน!$C$21*((1+$H9)^J$19-1)/$H9)-(สมมติฐาน!$C$26*(J$19&gt;=สมมติฐาน!$D$26)+$F9*(J$19&gt;=สมมติฐาน!$D$27)+สมมติฐาน!$C$28*(J$19&gt;=สมมติฐาน!$D$28)+$G9*(J$19&gt;=สมมติฐาน!$D$29))</f>
        <v>80000</v>
      </c>
      <c r="K23" s="17" t="n">
        <f aca="false">สมมติฐาน!$C$15+$C9*(K$19&gt;=สมมติฐาน!$C$13)+$D9*(K$19&gt;=$E9)-IF($H9=0,สมมติฐาน!$C$21*K$19,สมมติฐาน!$C$21*((1+$H9)^K$19-1)/$H9)-(สมมติฐาน!$C$26*(K$19&gt;=สมมติฐาน!$D$26)+$F9*(K$19&gt;=สมมติฐาน!$D$27)+สมมติฐาน!$C$28*(K$19&gt;=สมมติฐาน!$D$28)+$G9*(K$19&gt;=สมมติฐาน!$D$29))</f>
        <v>690000</v>
      </c>
      <c r="L23" s="17" t="n">
        <f aca="false">สมมติฐาน!$C$15+$C9*(L$19&gt;=สมมติฐาน!$C$13)+$D9*(L$19&gt;=$E9)-IF($H9=0,สมมติฐาน!$C$21*L$19,สมมติฐาน!$C$21*((1+$H9)^L$19-1)/$H9)-(สมมติฐาน!$C$26*(L$19&gt;=สมมติฐาน!$D$26)+$F9*(L$19&gt;=สมมติฐาน!$D$27)+สมมติฐาน!$C$28*(L$19&gt;=สมมติฐาน!$D$28)+$G9*(L$19&gt;=สมมติฐาน!$D$29))</f>
        <v>540000</v>
      </c>
      <c r="M23" s="17" t="n">
        <f aca="false">สมมติฐาน!$C$15+$C9*(M$19&gt;=สมมติฐาน!$C$13)+$D9*(M$19&gt;=$E9)-IF($H9=0,สมมติฐาน!$C$21*M$19,สมมติฐาน!$C$21*((1+$H9)^M$19-1)/$H9)-(สมมติฐาน!$C$26*(M$19&gt;=สมมติฐาน!$D$26)+$F9*(M$19&gt;=สมมติฐาน!$D$27)+สมมติฐาน!$C$28*(M$19&gt;=สมมติฐาน!$D$28)+$G9*(M$19&gt;=สมมติฐาน!$D$29))</f>
        <v>390000</v>
      </c>
      <c r="N23" s="17" t="n">
        <f aca="false">สมมติฐาน!$C$15+$C9*(N$19&gt;=สมมติฐาน!$C$13)+$D9*(N$19&gt;=$E9)-IF($H9=0,สมมติฐาน!$C$21*N$19,สมมติฐาน!$C$21*((1+$H9)^N$19-1)/$H9)-(สมมติฐาน!$C$26*(N$19&gt;=สมมติฐาน!$D$26)+$F9*(N$19&gt;=สมมติฐาน!$D$27)+สมมติฐาน!$C$28*(N$19&gt;=สมมติฐาน!$D$28)+$G9*(N$19&gt;=สมมติฐาน!$D$29))</f>
        <v>240000</v>
      </c>
      <c r="O23" s="17" t="n">
        <f aca="false">สมมติฐาน!$C$15+$C9*(O$19&gt;=สมมติฐาน!$C$13)+$D9*(O$19&gt;=$E9)-IF($H9=0,สมมติฐาน!$C$21*O$19,สมมติฐาน!$C$21*((1+$H9)^O$19-1)/$H9)-(สมมติฐาน!$C$26*(O$19&gt;=สมมติฐาน!$D$26)+$F9*(O$19&gt;=สมมติฐาน!$D$27)+สมมติฐาน!$C$28*(O$19&gt;=สมมติฐาน!$D$28)+$G9*(O$19&gt;=สมมติฐาน!$D$29))</f>
        <v>90000</v>
      </c>
      <c r="P23" s="17" t="n">
        <f aca="false">สมมติฐาน!$C$15+$C9*(P$19&gt;=สมมติฐาน!$C$13)+$D9*(P$19&gt;=$E9)-IF($H9=0,สมมติฐาน!$C$21*P$19,สมมติฐาน!$C$21*((1+$H9)^P$19-1)/$H9)-(สมมติฐาน!$C$26*(P$19&gt;=สมมติฐาน!$D$26)+$F9*(P$19&gt;=สมมติฐาน!$D$27)+สมมติฐาน!$C$28*(P$19&gt;=สมมติฐาน!$D$28)+$G9*(P$19&gt;=สมมติฐาน!$D$29))</f>
        <v>-60000</v>
      </c>
      <c r="Q23" s="17" t="n">
        <f aca="false">สมมติฐาน!$C$15+$C9*(Q$19&gt;=สมมติฐาน!$C$13)+$D9*(Q$19&gt;=$E9)-IF($H9=0,สมมติฐาน!$C$21*Q$19,สมมติฐาน!$C$21*((1+$H9)^Q$19-1)/$H9)-(สมมติฐาน!$C$26*(Q$19&gt;=สมมติฐาน!$D$26)+$F9*(Q$19&gt;=สมมติฐาน!$D$27)+สมมติฐาน!$C$28*(Q$19&gt;=สมมติฐาน!$D$28)+$G9*(Q$19&gt;=สมมติฐาน!$D$29))</f>
        <v>-210000</v>
      </c>
      <c r="R23" s="17" t="n">
        <f aca="false">สมมติฐาน!$C$15+$C9*(R$19&gt;=สมมติฐาน!$C$13)+$D9*(R$19&gt;=$E9)-IF($H9=0,สมมติฐาน!$C$21*R$19,สมมติฐาน!$C$21*((1+$H9)^R$19-1)/$H9)-(สมมติฐาน!$C$26*(R$19&gt;=สมมติฐาน!$D$26)+$F9*(R$19&gt;=สมมติฐาน!$D$27)+สมมติฐาน!$C$28*(R$19&gt;=สมมติฐาน!$D$28)+$G9*(R$19&gt;=สมมติฐาน!$D$29))</f>
        <v>-360000</v>
      </c>
      <c r="S23" s="17" t="n">
        <f aca="false">สมมติฐาน!$C$15+$C9*(S$19&gt;=สมมติฐาน!$C$13)+$D9*(S$19&gt;=$E9)-IF($H9=0,สมมติฐาน!$C$21*S$19,สมมติฐาน!$C$21*((1+$H9)^S$19-1)/$H9)-(สมมติฐาน!$C$26*(S$19&gt;=สมมติฐาน!$D$26)+$F9*(S$19&gt;=สมมติฐาน!$D$27)+สมมติฐาน!$C$28*(S$19&gt;=สมมติฐาน!$D$28)+$G9*(S$19&gt;=สมมติฐาน!$D$29))</f>
        <v>-510000</v>
      </c>
      <c r="T23" s="17" t="n">
        <f aca="false">สมมติฐาน!$C$15+$C9*(T$19&gt;=สมมติฐาน!$C$13)+$D9*(T$19&gt;=$E9)-IF($H9=0,สมมติฐาน!$C$21*T$19,สมมติฐาน!$C$21*((1+$H9)^T$19-1)/$H9)-(สมมติฐาน!$C$26*(T$19&gt;=สมมติฐาน!$D$26)+$F9*(T$19&gt;=สมมติฐาน!$D$27)+สมมติฐาน!$C$28*(T$19&gt;=สมมติฐาน!$D$28)+$G9*(T$19&gt;=สมมติฐาน!$D$29))</f>
        <v>-660000</v>
      </c>
      <c r="U23" s="17" t="n">
        <f aca="false">สมมติฐาน!$C$15+$C9*(U$19&gt;=สมมติฐาน!$C$13)+$D9*(U$19&gt;=$E9)-IF($H9=0,สมมติฐาน!$C$21*U$19,สมมติฐาน!$C$21*((1+$H9)^U$19-1)/$H9)-(สมมติฐาน!$C$26*(U$19&gt;=สมมติฐาน!$D$26)+$F9*(U$19&gt;=สมมติฐาน!$D$27)+สมมติฐาน!$C$28*(U$19&gt;=สมมติฐาน!$D$28)+$G9*(U$19&gt;=สมมติฐาน!$D$29))</f>
        <v>-810000</v>
      </c>
      <c r="V23" s="17" t="n">
        <f aca="false">สมมติฐาน!$C$15+$C9*(V$19&gt;=สมมติฐาน!$C$13)+$D9*(V$19&gt;=$E9)-IF($H9=0,สมมติฐาน!$C$21*V$19,สมมติฐาน!$C$21*((1+$H9)^V$19-1)/$H9)-(สมมติฐาน!$C$26*(V$19&gt;=สมมติฐาน!$D$26)+$F9*(V$19&gt;=สมมติฐาน!$D$27)+สมมติฐาน!$C$28*(V$19&gt;=สมมติฐาน!$D$28)+$G9*(V$19&gt;=สมมติฐาน!$D$29))</f>
        <v>-960000</v>
      </c>
      <c r="W23" s="17" t="n">
        <f aca="false">สมมติฐาน!$C$15+$C9*(W$19&gt;=สมมติฐาน!$C$13)+$D9*(W$19&gt;=$E9)-IF($H9=0,สมมติฐาน!$C$21*W$19,สมมติฐาน!$C$21*((1+$H9)^W$19-1)/$H9)-(สมมติฐาน!$C$26*(W$19&gt;=สมมติฐาน!$D$26)+$F9*(W$19&gt;=สมมติฐาน!$D$27)+สมมติฐาน!$C$28*(W$19&gt;=สมมติฐาน!$D$28)+$G9*(W$19&gt;=สมมติฐาน!$D$29))</f>
        <v>-1110000</v>
      </c>
      <c r="X23" s="17" t="n">
        <f aca="false">สมมติฐาน!$C$15+$C9*(X$19&gt;=สมมติฐาน!$C$13)+$D9*(X$19&gt;=$E9)-IF($H9=0,สมมติฐาน!$C$21*X$19,สมมติฐาน!$C$21*((1+$H9)^X$19-1)/$H9)-(สมมติฐาน!$C$26*(X$19&gt;=สมมติฐาน!$D$26)+$F9*(X$19&gt;=สมมติฐาน!$D$27)+สมมติฐาน!$C$28*(X$19&gt;=สมมติฐาน!$D$28)+$G9*(X$19&gt;=สมมติฐาน!$D$29))</f>
        <v>-1260000</v>
      </c>
      <c r="Y23" s="17" t="n">
        <f aca="false">สมมติฐาน!$C$15+$C9*(Y$19&gt;=สมมติฐาน!$C$13)+$D9*(Y$19&gt;=$E9)-IF($H9=0,สมมติฐาน!$C$21*Y$19,สมมติฐาน!$C$21*((1+$H9)^Y$19-1)/$H9)-(สมมติฐาน!$C$26*(Y$19&gt;=สมมติฐาน!$D$26)+$F9*(Y$19&gt;=สมมติฐาน!$D$27)+สมมติฐาน!$C$28*(Y$19&gt;=สมมติฐาน!$D$28)+$G9*(Y$19&gt;=สมมติฐาน!$D$29))</f>
        <v>-1410000</v>
      </c>
      <c r="Z23" s="17" t="n">
        <f aca="false">สมมติฐาน!$C$15+$C9*(Z$19&gt;=สมมติฐาน!$C$13)+$D9*(Z$19&gt;=$E9)-IF($H9=0,สมมติฐาน!$C$21*Z$19,สมมติฐาน!$C$21*((1+$H9)^Z$19-1)/$H9)-(สมมติฐาน!$C$26*(Z$19&gt;=สมมติฐาน!$D$26)+$F9*(Z$19&gt;=สมมติฐาน!$D$27)+สมมติฐาน!$C$28*(Z$19&gt;=สมมติฐาน!$D$28)+$G9*(Z$19&gt;=สมมติฐาน!$D$29))</f>
        <v>-1560000</v>
      </c>
    </row>
    <row r="24" customFormat="false" ht="15" hidden="false" customHeight="false" outlineLevel="0" collapsed="false">
      <c r="B24" s="4" t="str">
        <f aca="false">B10</f>
        <v>Pen-test 700,000</v>
      </c>
      <c r="C24" s="17" t="n">
        <f aca="false">สมมติฐาน!$C$15+$C10*(C$19&gt;=สมมติฐาน!$C$13)+$D10*(C$19&gt;=$E10)-IF($H10=0,สมมติฐาน!$C$21*C$19,สมมติฐาน!$C$21*((1+$H10)^C$19-1)/$H10)-(สมมติฐาน!$C$26*(C$19&gt;=สมมติฐาน!$D$26)+$F10*(C$19&gt;=สมมติฐาน!$D$27)+สมมติฐาน!$C$28*(C$19&gt;=สมมติฐาน!$D$28)+$G10*(C$19&gt;=สมมติฐาน!$D$29))</f>
        <v>1730000</v>
      </c>
      <c r="D24" s="17" t="n">
        <f aca="false">สมมติฐาน!$C$15+$C10*(D$19&gt;=สมมติฐาน!$C$13)+$D10*(D$19&gt;=$E10)-IF($H10=0,สมมติฐาน!$C$21*D$19,สมมติฐาน!$C$21*((1+$H10)^D$19-1)/$H10)-(สมมติฐาน!$C$26*(D$19&gt;=สมมติฐาน!$D$26)+$F10*(D$19&gt;=สมมติฐาน!$D$27)+สมมติฐาน!$C$28*(D$19&gt;=สมมติฐาน!$D$28)+$G10*(D$19&gt;=สมมติฐาน!$D$29))</f>
        <v>880000</v>
      </c>
      <c r="E24" s="17" t="n">
        <f aca="false">สมมติฐาน!$C$15+$C10*(E$19&gt;=สมมติฐาน!$C$13)+$D10*(E$19&gt;=$E10)-IF($H10=0,สมมติฐาน!$C$21*E$19,สมมติฐาน!$C$21*((1+$H10)^E$19-1)/$H10)-(สมมติฐาน!$C$26*(E$19&gt;=สมมติฐาน!$D$26)+$F10*(E$19&gt;=สมมติฐาน!$D$27)+สมมติฐาน!$C$28*(E$19&gt;=สมมติฐาน!$D$28)+$G10*(E$19&gt;=สมมติฐาน!$D$29))</f>
        <v>730000</v>
      </c>
      <c r="F24" s="17" t="n">
        <f aca="false">สมมติฐาน!$C$15+$C10*(F$19&gt;=สมมติฐาน!$C$13)+$D10*(F$19&gt;=$E10)-IF($H10=0,สมมติฐาน!$C$21*F$19,สมมติฐาน!$C$21*((1+$H10)^F$19-1)/$H10)-(สมมติฐาน!$C$26*(F$19&gt;=สมมติฐาน!$D$26)+$F10*(F$19&gt;=สมมติฐาน!$D$27)+สมมติฐาน!$C$28*(F$19&gt;=สมมติฐาน!$D$28)+$G10*(F$19&gt;=สมมติฐาน!$D$29))</f>
        <v>580000</v>
      </c>
      <c r="G24" s="17" t="n">
        <f aca="false">สมมติฐาน!$C$15+$C10*(G$19&gt;=สมมติฐาน!$C$13)+$D10*(G$19&gt;=$E10)-IF($H10=0,สมมติฐาน!$C$21*G$19,สมมติฐาน!$C$21*((1+$H10)^G$19-1)/$H10)-(สมมติฐาน!$C$26*(G$19&gt;=สมมติฐาน!$D$26)+$F10*(G$19&gt;=สมมติฐาน!$D$27)+สมมติฐาน!$C$28*(G$19&gt;=สมมติฐาน!$D$28)+$G10*(G$19&gt;=สมมติฐาน!$D$29))</f>
        <v>430000</v>
      </c>
      <c r="H24" s="17" t="n">
        <f aca="false">สมมติฐาน!$C$15+$C10*(H$19&gt;=สมมติฐาน!$C$13)+$D10*(H$19&gt;=$E10)-IF($H10=0,สมมติฐาน!$C$21*H$19,สมมติฐาน!$C$21*((1+$H10)^H$19-1)/$H10)-(สมมติฐาน!$C$26*(H$19&gt;=สมมติฐาน!$D$26)+$F10*(H$19&gt;=สมมติฐาน!$D$27)+สมมติฐาน!$C$28*(H$19&gt;=สมมติฐาน!$D$28)+$G10*(H$19&gt;=สมมติฐาน!$D$29))</f>
        <v>130000</v>
      </c>
      <c r="I24" s="17" t="n">
        <f aca="false">สมมติฐาน!$C$15+$C10*(I$19&gt;=สมมติฐาน!$C$13)+$D10*(I$19&gt;=$E10)-IF($H10=0,สมมติฐาน!$C$21*I$19,สมมติฐาน!$C$21*((1+$H10)^I$19-1)/$H10)-(สมมติฐาน!$C$26*(I$19&gt;=สมมติฐาน!$D$26)+$F10*(I$19&gt;=สมมติฐาน!$D$27)+สมมติฐาน!$C$28*(I$19&gt;=สมมติฐาน!$D$28)+$G10*(I$19&gt;=สมมติฐาน!$D$29))</f>
        <v>980000</v>
      </c>
      <c r="J24" s="17" t="n">
        <f aca="false">สมมติฐาน!$C$15+$C10*(J$19&gt;=สมมติฐาน!$C$13)+$D10*(J$19&gt;=$E10)-IF($H10=0,สมมติฐาน!$C$21*J$19,สมมติฐาน!$C$21*((1+$H10)^J$19-1)/$H10)-(สมมติฐาน!$C$26*(J$19&gt;=สมมติฐาน!$D$26)+$F10*(J$19&gt;=สมมติฐาน!$D$27)+สมมติฐาน!$C$28*(J$19&gt;=สมมติฐาน!$D$28)+$G10*(J$19&gt;=สมมติฐาน!$D$29))</f>
        <v>830000</v>
      </c>
      <c r="K24" s="17" t="n">
        <f aca="false">สมมติฐาน!$C$15+$C10*(K$19&gt;=สมมติฐาน!$C$13)+$D10*(K$19&gt;=$E10)-IF($H10=0,สมมติฐาน!$C$21*K$19,สมมติฐาน!$C$21*((1+$H10)^K$19-1)/$H10)-(สมมติฐาน!$C$26*(K$19&gt;=สมมติฐาน!$D$26)+$F10*(K$19&gt;=สมมติฐาน!$D$27)+สมมติฐาน!$C$28*(K$19&gt;=สมมติฐาน!$D$28)+$G10*(K$19&gt;=สมมติฐาน!$D$29))</f>
        <v>440000</v>
      </c>
      <c r="L24" s="17" t="n">
        <f aca="false">สมมติฐาน!$C$15+$C10*(L$19&gt;=สมมติฐาน!$C$13)+$D10*(L$19&gt;=$E10)-IF($H10=0,สมมติฐาน!$C$21*L$19,สมมติฐาน!$C$21*((1+$H10)^L$19-1)/$H10)-(สมมติฐาน!$C$26*(L$19&gt;=สมมติฐาน!$D$26)+$F10*(L$19&gt;=สมมติฐาน!$D$27)+สมมติฐาน!$C$28*(L$19&gt;=สมมติฐาน!$D$28)+$G10*(L$19&gt;=สมมติฐาน!$D$29))</f>
        <v>290000</v>
      </c>
      <c r="M24" s="17" t="n">
        <f aca="false">สมมติฐาน!$C$15+$C10*(M$19&gt;=สมมติฐาน!$C$13)+$D10*(M$19&gt;=$E10)-IF($H10=0,สมมติฐาน!$C$21*M$19,สมมติฐาน!$C$21*((1+$H10)^M$19-1)/$H10)-(สมมติฐาน!$C$26*(M$19&gt;=สมมติฐาน!$D$26)+$F10*(M$19&gt;=สมมติฐาน!$D$27)+สมมติฐาน!$C$28*(M$19&gt;=สมมติฐาน!$D$28)+$G10*(M$19&gt;=สมมติฐาน!$D$29))</f>
        <v>140000</v>
      </c>
      <c r="N24" s="17" t="n">
        <f aca="false">สมมติฐาน!$C$15+$C10*(N$19&gt;=สมมติฐาน!$C$13)+$D10*(N$19&gt;=$E10)-IF($H10=0,สมมติฐาน!$C$21*N$19,สมมติฐาน!$C$21*((1+$H10)^N$19-1)/$H10)-(สมมติฐาน!$C$26*(N$19&gt;=สมมติฐาน!$D$26)+$F10*(N$19&gt;=สมมติฐาน!$D$27)+สมมติฐาน!$C$28*(N$19&gt;=สมมติฐาน!$D$28)+$G10*(N$19&gt;=สมมติฐาน!$D$29))</f>
        <v>-10000</v>
      </c>
      <c r="O24" s="17" t="n">
        <f aca="false">สมมติฐาน!$C$15+$C10*(O$19&gt;=สมมติฐาน!$C$13)+$D10*(O$19&gt;=$E10)-IF($H10=0,สมมติฐาน!$C$21*O$19,สมมติฐาน!$C$21*((1+$H10)^O$19-1)/$H10)-(สมมติฐาน!$C$26*(O$19&gt;=สมมติฐาน!$D$26)+$F10*(O$19&gt;=สมมติฐาน!$D$27)+สมมติฐาน!$C$28*(O$19&gt;=สมมติฐาน!$D$28)+$G10*(O$19&gt;=สมมติฐาน!$D$29))</f>
        <v>-160000</v>
      </c>
      <c r="P24" s="17" t="n">
        <f aca="false">สมมติฐาน!$C$15+$C10*(P$19&gt;=สมมติฐาน!$C$13)+$D10*(P$19&gt;=$E10)-IF($H10=0,สมมติฐาน!$C$21*P$19,สมมติฐาน!$C$21*((1+$H10)^P$19-1)/$H10)-(สมมติฐาน!$C$26*(P$19&gt;=สมมติฐาน!$D$26)+$F10*(P$19&gt;=สมมติฐาน!$D$27)+สมมติฐาน!$C$28*(P$19&gt;=สมมติฐาน!$D$28)+$G10*(P$19&gt;=สมมติฐาน!$D$29))</f>
        <v>-310000</v>
      </c>
      <c r="Q24" s="17" t="n">
        <f aca="false">สมมติฐาน!$C$15+$C10*(Q$19&gt;=สมมติฐาน!$C$13)+$D10*(Q$19&gt;=$E10)-IF($H10=0,สมมติฐาน!$C$21*Q$19,สมมติฐาน!$C$21*((1+$H10)^Q$19-1)/$H10)-(สมมติฐาน!$C$26*(Q$19&gt;=สมมติฐาน!$D$26)+$F10*(Q$19&gt;=สมมติฐาน!$D$27)+สมมติฐาน!$C$28*(Q$19&gt;=สมมติฐาน!$D$28)+$G10*(Q$19&gt;=สมมติฐาน!$D$29))</f>
        <v>-460000</v>
      </c>
      <c r="R24" s="17" t="n">
        <f aca="false">สมมติฐาน!$C$15+$C10*(R$19&gt;=สมมติฐาน!$C$13)+$D10*(R$19&gt;=$E10)-IF($H10=0,สมมติฐาน!$C$21*R$19,สมมติฐาน!$C$21*((1+$H10)^R$19-1)/$H10)-(สมมติฐาน!$C$26*(R$19&gt;=สมมติฐาน!$D$26)+$F10*(R$19&gt;=สมมติฐาน!$D$27)+สมมติฐาน!$C$28*(R$19&gt;=สมมติฐาน!$D$28)+$G10*(R$19&gt;=สมมติฐาน!$D$29))</f>
        <v>-610000</v>
      </c>
      <c r="S24" s="17" t="n">
        <f aca="false">สมมติฐาน!$C$15+$C10*(S$19&gt;=สมมติฐาน!$C$13)+$D10*(S$19&gt;=$E10)-IF($H10=0,สมมติฐาน!$C$21*S$19,สมมติฐาน!$C$21*((1+$H10)^S$19-1)/$H10)-(สมมติฐาน!$C$26*(S$19&gt;=สมมติฐาน!$D$26)+$F10*(S$19&gt;=สมมติฐาน!$D$27)+สมมติฐาน!$C$28*(S$19&gt;=สมมติฐาน!$D$28)+$G10*(S$19&gt;=สมมติฐาน!$D$29))</f>
        <v>-760000</v>
      </c>
      <c r="T24" s="17" t="n">
        <f aca="false">สมมติฐาน!$C$15+$C10*(T$19&gt;=สมมติฐาน!$C$13)+$D10*(T$19&gt;=$E10)-IF($H10=0,สมมติฐาน!$C$21*T$19,สมมติฐาน!$C$21*((1+$H10)^T$19-1)/$H10)-(สมมติฐาน!$C$26*(T$19&gt;=สมมติฐาน!$D$26)+$F10*(T$19&gt;=สมมติฐาน!$D$27)+สมมติฐาน!$C$28*(T$19&gt;=สมมติฐาน!$D$28)+$G10*(T$19&gt;=สมมติฐาน!$D$29))</f>
        <v>-910000</v>
      </c>
      <c r="U24" s="17" t="n">
        <f aca="false">สมมติฐาน!$C$15+$C10*(U$19&gt;=สมมติฐาน!$C$13)+$D10*(U$19&gt;=$E10)-IF($H10=0,สมมติฐาน!$C$21*U$19,สมมติฐาน!$C$21*((1+$H10)^U$19-1)/$H10)-(สมมติฐาน!$C$26*(U$19&gt;=สมมติฐาน!$D$26)+$F10*(U$19&gt;=สมมติฐาน!$D$27)+สมมติฐาน!$C$28*(U$19&gt;=สมมติฐาน!$D$28)+$G10*(U$19&gt;=สมมติฐาน!$D$29))</f>
        <v>-1060000</v>
      </c>
      <c r="V24" s="17" t="n">
        <f aca="false">สมมติฐาน!$C$15+$C10*(V$19&gt;=สมมติฐาน!$C$13)+$D10*(V$19&gt;=$E10)-IF($H10=0,สมมติฐาน!$C$21*V$19,สมมติฐาน!$C$21*((1+$H10)^V$19-1)/$H10)-(สมมติฐาน!$C$26*(V$19&gt;=สมมติฐาน!$D$26)+$F10*(V$19&gt;=สมมติฐาน!$D$27)+สมมติฐาน!$C$28*(V$19&gt;=สมมติฐาน!$D$28)+$G10*(V$19&gt;=สมมติฐาน!$D$29))</f>
        <v>-1210000</v>
      </c>
      <c r="W24" s="17" t="n">
        <f aca="false">สมมติฐาน!$C$15+$C10*(W$19&gt;=สมมติฐาน!$C$13)+$D10*(W$19&gt;=$E10)-IF($H10=0,สมมติฐาน!$C$21*W$19,สมมติฐาน!$C$21*((1+$H10)^W$19-1)/$H10)-(สมมติฐาน!$C$26*(W$19&gt;=สมมติฐาน!$D$26)+$F10*(W$19&gt;=สมมติฐาน!$D$27)+สมมติฐาน!$C$28*(W$19&gt;=สมมติฐาน!$D$28)+$G10*(W$19&gt;=สมมติฐาน!$D$29))</f>
        <v>-1360000</v>
      </c>
      <c r="X24" s="17" t="n">
        <f aca="false">สมมติฐาน!$C$15+$C10*(X$19&gt;=สมมติฐาน!$C$13)+$D10*(X$19&gt;=$E10)-IF($H10=0,สมมติฐาน!$C$21*X$19,สมมติฐาน!$C$21*((1+$H10)^X$19-1)/$H10)-(สมมติฐาน!$C$26*(X$19&gt;=สมมติฐาน!$D$26)+$F10*(X$19&gt;=สมมติฐาน!$D$27)+สมมติฐาน!$C$28*(X$19&gt;=สมมติฐาน!$D$28)+$G10*(X$19&gt;=สมมติฐาน!$D$29))</f>
        <v>-1510000</v>
      </c>
      <c r="Y24" s="17" t="n">
        <f aca="false">สมมติฐาน!$C$15+$C10*(Y$19&gt;=สมมติฐาน!$C$13)+$D10*(Y$19&gt;=$E10)-IF($H10=0,สมมติฐาน!$C$21*Y$19,สมมติฐาน!$C$21*((1+$H10)^Y$19-1)/$H10)-(สมมติฐาน!$C$26*(Y$19&gt;=สมมติฐาน!$D$26)+$F10*(Y$19&gt;=สมมติฐาน!$D$27)+สมมติฐาน!$C$28*(Y$19&gt;=สมมติฐาน!$D$28)+$G10*(Y$19&gt;=สมมติฐาน!$D$29))</f>
        <v>-1660000</v>
      </c>
      <c r="Z24" s="17" t="n">
        <f aca="false">สมมติฐาน!$C$15+$C10*(Z$19&gt;=สมมติฐาน!$C$13)+$D10*(Z$19&gt;=$E10)-IF($H10=0,สมมติฐาน!$C$21*Z$19,สมมติฐาน!$C$21*((1+$H10)^Z$19-1)/$H10)-(สมมติฐาน!$C$26*(Z$19&gt;=สมมติฐาน!$D$26)+$F10*(Z$19&gt;=สมมติฐาน!$D$27)+สมมติฐาน!$C$28*(Z$19&gt;=สมมติฐาน!$D$28)+$G10*(Z$19&gt;=สมมติฐาน!$D$29))</f>
        <v>-1810000</v>
      </c>
    </row>
    <row r="25" customFormat="false" ht="15" hidden="false" customHeight="false" outlineLevel="0" collapsed="false">
      <c r="B25" s="4" t="str">
        <f aca="false">B11</f>
        <v>Pen-test 830,000 (เงินสดเดือน 6 ≈ 0)</v>
      </c>
      <c r="C25" s="17" t="n">
        <f aca="false">สมมติฐาน!$C$15+$C11*(C$19&gt;=สมมติฐาน!$C$13)+$D11*(C$19&gt;=$E11)-IF($H11=0,สมมติฐาน!$C$21*C$19,สมมติฐาน!$C$21*((1+$H11)^C$19-1)/$H11)-(สมมติฐาน!$C$26*(C$19&gt;=สมมติฐาน!$D$26)+$F11*(C$19&gt;=สมมติฐาน!$D$27)+สมมติฐาน!$C$28*(C$19&gt;=สมมติฐาน!$D$28)+$G11*(C$19&gt;=สมมติฐาน!$D$29))</f>
        <v>1730000</v>
      </c>
      <c r="D25" s="17" t="n">
        <f aca="false">สมมติฐาน!$C$15+$C11*(D$19&gt;=สมมติฐาน!$C$13)+$D11*(D$19&gt;=$E11)-IF($H11=0,สมมติฐาน!$C$21*D$19,สมมติฐาน!$C$21*((1+$H11)^D$19-1)/$H11)-(สมมติฐาน!$C$26*(D$19&gt;=สมมติฐาน!$D$26)+$F11*(D$19&gt;=สมมติฐาน!$D$27)+สมมติฐาน!$C$28*(D$19&gt;=สมมติฐาน!$D$28)+$G11*(D$19&gt;=สมมติฐาน!$D$29))</f>
        <v>750000</v>
      </c>
      <c r="E25" s="17" t="n">
        <f aca="false">สมมติฐาน!$C$15+$C11*(E$19&gt;=สมมติฐาน!$C$13)+$D11*(E$19&gt;=$E11)-IF($H11=0,สมมติฐาน!$C$21*E$19,สมมติฐาน!$C$21*((1+$H11)^E$19-1)/$H11)-(สมมติฐาน!$C$26*(E$19&gt;=สมมติฐาน!$D$26)+$F11*(E$19&gt;=สมมติฐาน!$D$27)+สมมติฐาน!$C$28*(E$19&gt;=สมมติฐาน!$D$28)+$G11*(E$19&gt;=สมมติฐาน!$D$29))</f>
        <v>600000</v>
      </c>
      <c r="F25" s="17" t="n">
        <f aca="false">สมมติฐาน!$C$15+$C11*(F$19&gt;=สมมติฐาน!$C$13)+$D11*(F$19&gt;=$E11)-IF($H11=0,สมมติฐาน!$C$21*F$19,สมมติฐาน!$C$21*((1+$H11)^F$19-1)/$H11)-(สมมติฐาน!$C$26*(F$19&gt;=สมมติฐาน!$D$26)+$F11*(F$19&gt;=สมมติฐาน!$D$27)+สมมติฐาน!$C$28*(F$19&gt;=สมมติฐาน!$D$28)+$G11*(F$19&gt;=สมมติฐาน!$D$29))</f>
        <v>450000</v>
      </c>
      <c r="G25" s="17" t="n">
        <f aca="false">สมมติฐาน!$C$15+$C11*(G$19&gt;=สมมติฐาน!$C$13)+$D11*(G$19&gt;=$E11)-IF($H11=0,สมมติฐาน!$C$21*G$19,สมมติฐาน!$C$21*((1+$H11)^G$19-1)/$H11)-(สมมติฐาน!$C$26*(G$19&gt;=สมมติฐาน!$D$26)+$F11*(G$19&gt;=สมมติฐาน!$D$27)+สมมติฐาน!$C$28*(G$19&gt;=สมมติฐาน!$D$28)+$G11*(G$19&gt;=สมมติฐาน!$D$29))</f>
        <v>300000</v>
      </c>
      <c r="H25" s="17" t="n">
        <f aca="false">สมมติฐาน!$C$15+$C11*(H$19&gt;=สมมติฐาน!$C$13)+$D11*(H$19&gt;=$E11)-IF($H11=0,สมมติฐาน!$C$21*H$19,สมมติฐาน!$C$21*((1+$H11)^H$19-1)/$H11)-(สมมติฐาน!$C$26*(H$19&gt;=สมมติฐาน!$D$26)+$F11*(H$19&gt;=สมมติฐาน!$D$27)+สมมติฐาน!$C$28*(H$19&gt;=สมมติฐาน!$D$28)+$G11*(H$19&gt;=สมมติฐาน!$D$29))</f>
        <v>0</v>
      </c>
      <c r="I25" s="17" t="n">
        <f aca="false">สมมติฐาน!$C$15+$C11*(I$19&gt;=สมมติฐาน!$C$13)+$D11*(I$19&gt;=$E11)-IF($H11=0,สมมติฐาน!$C$21*I$19,สมมติฐาน!$C$21*((1+$H11)^I$19-1)/$H11)-(สมมติฐาน!$C$26*(I$19&gt;=สมมติฐาน!$D$26)+$F11*(I$19&gt;=สมมติฐาน!$D$27)+สมมติฐาน!$C$28*(I$19&gt;=สมมติฐาน!$D$28)+$G11*(I$19&gt;=สมมติฐาน!$D$29))</f>
        <v>850000</v>
      </c>
      <c r="J25" s="17" t="n">
        <f aca="false">สมมติฐาน!$C$15+$C11*(J$19&gt;=สมมติฐาน!$C$13)+$D11*(J$19&gt;=$E11)-IF($H11=0,สมมติฐาน!$C$21*J$19,สมมติฐาน!$C$21*((1+$H11)^J$19-1)/$H11)-(สมมติฐาน!$C$26*(J$19&gt;=สมมติฐาน!$D$26)+$F11*(J$19&gt;=สมมติฐาน!$D$27)+สมมติฐาน!$C$28*(J$19&gt;=สมมติฐาน!$D$28)+$G11*(J$19&gt;=สมมติฐาน!$D$29))</f>
        <v>700000</v>
      </c>
      <c r="K25" s="17" t="n">
        <f aca="false">สมมติฐาน!$C$15+$C11*(K$19&gt;=สมมติฐาน!$C$13)+$D11*(K$19&gt;=$E11)-IF($H11=0,สมมติฐาน!$C$21*K$19,สมมติฐาน!$C$21*((1+$H11)^K$19-1)/$H11)-(สมมติฐาน!$C$26*(K$19&gt;=สมมติฐาน!$D$26)+$F11*(K$19&gt;=สมมติฐาน!$D$27)+สมมติฐาน!$C$28*(K$19&gt;=สมมติฐาน!$D$28)+$G11*(K$19&gt;=สมมติฐาน!$D$29))</f>
        <v>310000</v>
      </c>
      <c r="L25" s="17" t="n">
        <f aca="false">สมมติฐาน!$C$15+$C11*(L$19&gt;=สมมติฐาน!$C$13)+$D11*(L$19&gt;=$E11)-IF($H11=0,สมมติฐาน!$C$21*L$19,สมมติฐาน!$C$21*((1+$H11)^L$19-1)/$H11)-(สมมติฐาน!$C$26*(L$19&gt;=สมมติฐาน!$D$26)+$F11*(L$19&gt;=สมมติฐาน!$D$27)+สมมติฐาน!$C$28*(L$19&gt;=สมมติฐาน!$D$28)+$G11*(L$19&gt;=สมมติฐาน!$D$29))</f>
        <v>160000</v>
      </c>
      <c r="M25" s="17" t="n">
        <f aca="false">สมมติฐาน!$C$15+$C11*(M$19&gt;=สมมติฐาน!$C$13)+$D11*(M$19&gt;=$E11)-IF($H11=0,สมมติฐาน!$C$21*M$19,สมมติฐาน!$C$21*((1+$H11)^M$19-1)/$H11)-(สมมติฐาน!$C$26*(M$19&gt;=สมมติฐาน!$D$26)+$F11*(M$19&gt;=สมมติฐาน!$D$27)+สมมติฐาน!$C$28*(M$19&gt;=สมมติฐาน!$D$28)+$G11*(M$19&gt;=สมมติฐาน!$D$29))</f>
        <v>10000</v>
      </c>
      <c r="N25" s="17" t="n">
        <f aca="false">สมมติฐาน!$C$15+$C11*(N$19&gt;=สมมติฐาน!$C$13)+$D11*(N$19&gt;=$E11)-IF($H11=0,สมมติฐาน!$C$21*N$19,สมมติฐาน!$C$21*((1+$H11)^N$19-1)/$H11)-(สมมติฐาน!$C$26*(N$19&gt;=สมมติฐาน!$D$26)+$F11*(N$19&gt;=สมมติฐาน!$D$27)+สมมติฐาน!$C$28*(N$19&gt;=สมมติฐาน!$D$28)+$G11*(N$19&gt;=สมมติฐาน!$D$29))</f>
        <v>-140000</v>
      </c>
      <c r="O25" s="17" t="n">
        <f aca="false">สมมติฐาน!$C$15+$C11*(O$19&gt;=สมมติฐาน!$C$13)+$D11*(O$19&gt;=$E11)-IF($H11=0,สมมติฐาน!$C$21*O$19,สมมติฐาน!$C$21*((1+$H11)^O$19-1)/$H11)-(สมมติฐาน!$C$26*(O$19&gt;=สมมติฐาน!$D$26)+$F11*(O$19&gt;=สมมติฐาน!$D$27)+สมมติฐาน!$C$28*(O$19&gt;=สมมติฐาน!$D$28)+$G11*(O$19&gt;=สมมติฐาน!$D$29))</f>
        <v>-290000</v>
      </c>
      <c r="P25" s="17" t="n">
        <f aca="false">สมมติฐาน!$C$15+$C11*(P$19&gt;=สมมติฐาน!$C$13)+$D11*(P$19&gt;=$E11)-IF($H11=0,สมมติฐาน!$C$21*P$19,สมมติฐาน!$C$21*((1+$H11)^P$19-1)/$H11)-(สมมติฐาน!$C$26*(P$19&gt;=สมมติฐาน!$D$26)+$F11*(P$19&gt;=สมมติฐาน!$D$27)+สมมติฐาน!$C$28*(P$19&gt;=สมมติฐาน!$D$28)+$G11*(P$19&gt;=สมมติฐาน!$D$29))</f>
        <v>-440000</v>
      </c>
      <c r="Q25" s="17" t="n">
        <f aca="false">สมมติฐาน!$C$15+$C11*(Q$19&gt;=สมมติฐาน!$C$13)+$D11*(Q$19&gt;=$E11)-IF($H11=0,สมมติฐาน!$C$21*Q$19,สมมติฐาน!$C$21*((1+$H11)^Q$19-1)/$H11)-(สมมติฐาน!$C$26*(Q$19&gt;=สมมติฐาน!$D$26)+$F11*(Q$19&gt;=สมมติฐาน!$D$27)+สมมติฐาน!$C$28*(Q$19&gt;=สมมติฐาน!$D$28)+$G11*(Q$19&gt;=สมมติฐาน!$D$29))</f>
        <v>-590000</v>
      </c>
      <c r="R25" s="17" t="n">
        <f aca="false">สมมติฐาน!$C$15+$C11*(R$19&gt;=สมมติฐาน!$C$13)+$D11*(R$19&gt;=$E11)-IF($H11=0,สมมติฐาน!$C$21*R$19,สมมติฐาน!$C$21*((1+$H11)^R$19-1)/$H11)-(สมมติฐาน!$C$26*(R$19&gt;=สมมติฐาน!$D$26)+$F11*(R$19&gt;=สมมติฐาน!$D$27)+สมมติฐาน!$C$28*(R$19&gt;=สมมติฐาน!$D$28)+$G11*(R$19&gt;=สมมติฐาน!$D$29))</f>
        <v>-740000</v>
      </c>
      <c r="S25" s="17" t="n">
        <f aca="false">สมมติฐาน!$C$15+$C11*(S$19&gt;=สมมติฐาน!$C$13)+$D11*(S$19&gt;=$E11)-IF($H11=0,สมมติฐาน!$C$21*S$19,สมมติฐาน!$C$21*((1+$H11)^S$19-1)/$H11)-(สมมติฐาน!$C$26*(S$19&gt;=สมมติฐาน!$D$26)+$F11*(S$19&gt;=สมมติฐาน!$D$27)+สมมติฐาน!$C$28*(S$19&gt;=สมมติฐาน!$D$28)+$G11*(S$19&gt;=สมมติฐาน!$D$29))</f>
        <v>-890000</v>
      </c>
      <c r="T25" s="17" t="n">
        <f aca="false">สมมติฐาน!$C$15+$C11*(T$19&gt;=สมมติฐาน!$C$13)+$D11*(T$19&gt;=$E11)-IF($H11=0,สมมติฐาน!$C$21*T$19,สมมติฐาน!$C$21*((1+$H11)^T$19-1)/$H11)-(สมมติฐาน!$C$26*(T$19&gt;=สมมติฐาน!$D$26)+$F11*(T$19&gt;=สมมติฐาน!$D$27)+สมมติฐาน!$C$28*(T$19&gt;=สมมติฐาน!$D$28)+$G11*(T$19&gt;=สมมติฐาน!$D$29))</f>
        <v>-1040000</v>
      </c>
      <c r="U25" s="17" t="n">
        <f aca="false">สมมติฐาน!$C$15+$C11*(U$19&gt;=สมมติฐาน!$C$13)+$D11*(U$19&gt;=$E11)-IF($H11=0,สมมติฐาน!$C$21*U$19,สมมติฐาน!$C$21*((1+$H11)^U$19-1)/$H11)-(สมมติฐาน!$C$26*(U$19&gt;=สมมติฐาน!$D$26)+$F11*(U$19&gt;=สมมติฐาน!$D$27)+สมมติฐาน!$C$28*(U$19&gt;=สมมติฐาน!$D$28)+$G11*(U$19&gt;=สมมติฐาน!$D$29))</f>
        <v>-1190000</v>
      </c>
      <c r="V25" s="17" t="n">
        <f aca="false">สมมติฐาน!$C$15+$C11*(V$19&gt;=สมมติฐาน!$C$13)+$D11*(V$19&gt;=$E11)-IF($H11=0,สมมติฐาน!$C$21*V$19,สมมติฐาน!$C$21*((1+$H11)^V$19-1)/$H11)-(สมมติฐาน!$C$26*(V$19&gt;=สมมติฐาน!$D$26)+$F11*(V$19&gt;=สมมติฐาน!$D$27)+สมมติฐาน!$C$28*(V$19&gt;=สมมติฐาน!$D$28)+$G11*(V$19&gt;=สมมติฐาน!$D$29))</f>
        <v>-1340000</v>
      </c>
      <c r="W25" s="17" t="n">
        <f aca="false">สมมติฐาน!$C$15+$C11*(W$19&gt;=สมมติฐาน!$C$13)+$D11*(W$19&gt;=$E11)-IF($H11=0,สมมติฐาน!$C$21*W$19,สมมติฐาน!$C$21*((1+$H11)^W$19-1)/$H11)-(สมมติฐาน!$C$26*(W$19&gt;=สมมติฐาน!$D$26)+$F11*(W$19&gt;=สมมติฐาน!$D$27)+สมมติฐาน!$C$28*(W$19&gt;=สมมติฐาน!$D$28)+$G11*(W$19&gt;=สมมติฐาน!$D$29))</f>
        <v>-1490000</v>
      </c>
      <c r="X25" s="17" t="n">
        <f aca="false">สมมติฐาน!$C$15+$C11*(X$19&gt;=สมมติฐาน!$C$13)+$D11*(X$19&gt;=$E11)-IF($H11=0,สมมติฐาน!$C$21*X$19,สมมติฐาน!$C$21*((1+$H11)^X$19-1)/$H11)-(สมมติฐาน!$C$26*(X$19&gt;=สมมติฐาน!$D$26)+$F11*(X$19&gt;=สมมติฐาน!$D$27)+สมมติฐาน!$C$28*(X$19&gt;=สมมติฐาน!$D$28)+$G11*(X$19&gt;=สมมติฐาน!$D$29))</f>
        <v>-1640000</v>
      </c>
      <c r="Y25" s="17" t="n">
        <f aca="false">สมมติฐาน!$C$15+$C11*(Y$19&gt;=สมมติฐาน!$C$13)+$D11*(Y$19&gt;=$E11)-IF($H11=0,สมมติฐาน!$C$21*Y$19,สมมติฐาน!$C$21*((1+$H11)^Y$19-1)/$H11)-(สมมติฐาน!$C$26*(Y$19&gt;=สมมติฐาน!$D$26)+$F11*(Y$19&gt;=สมมติฐาน!$D$27)+สมมติฐาน!$C$28*(Y$19&gt;=สมมติฐาน!$D$28)+$G11*(Y$19&gt;=สมมติฐาน!$D$29))</f>
        <v>-1790000</v>
      </c>
      <c r="Z25" s="17" t="n">
        <f aca="false">สมมติฐาน!$C$15+$C11*(Z$19&gt;=สมมติฐาน!$C$13)+$D11*(Z$19&gt;=$E11)-IF($H11=0,สมมติฐาน!$C$21*Z$19,สมมติฐาน!$C$21*((1+$H11)^Z$19-1)/$H11)-(สมมติฐาน!$C$26*(Z$19&gt;=สมมติฐาน!$D$26)+$F11*(Z$19&gt;=สมมติฐาน!$D$27)+สมมติฐาน!$C$28*(Z$19&gt;=สมมติฐาน!$D$28)+$G11*(Z$19&gt;=สมมติฐาน!$D$29))</f>
        <v>-1940000</v>
      </c>
    </row>
    <row r="26" customFormat="false" ht="15" hidden="false" customHeight="false" outlineLevel="0" collapsed="false">
      <c r="B26" s="4" t="str">
        <f aca="false">B12</f>
        <v>Pen-test 900,000</v>
      </c>
      <c r="C26" s="17" t="n">
        <f aca="false">สมมติฐาน!$C$15+$C12*(C$19&gt;=สมมติฐาน!$C$13)+$D12*(C$19&gt;=$E12)-IF($H12=0,สมมติฐาน!$C$21*C$19,สมมติฐาน!$C$21*((1+$H12)^C$19-1)/$H12)-(สมมติฐาน!$C$26*(C$19&gt;=สมมติฐาน!$D$26)+$F12*(C$19&gt;=สมมติฐาน!$D$27)+สมมติฐาน!$C$28*(C$19&gt;=สมมติฐาน!$D$28)+$G12*(C$19&gt;=สมมติฐาน!$D$29))</f>
        <v>1730000</v>
      </c>
      <c r="D26" s="17" t="n">
        <f aca="false">สมมติฐาน!$C$15+$C12*(D$19&gt;=สมมติฐาน!$C$13)+$D12*(D$19&gt;=$E12)-IF($H12=0,สมมติฐาน!$C$21*D$19,สมมติฐาน!$C$21*((1+$H12)^D$19-1)/$H12)-(สมมติฐาน!$C$26*(D$19&gt;=สมมติฐาน!$D$26)+$F12*(D$19&gt;=สมมติฐาน!$D$27)+สมมติฐาน!$C$28*(D$19&gt;=สมมติฐาน!$D$28)+$G12*(D$19&gt;=สมมติฐาน!$D$29))</f>
        <v>680000</v>
      </c>
      <c r="E26" s="17" t="n">
        <f aca="false">สมมติฐาน!$C$15+$C12*(E$19&gt;=สมมติฐาน!$C$13)+$D12*(E$19&gt;=$E12)-IF($H12=0,สมมติฐาน!$C$21*E$19,สมมติฐาน!$C$21*((1+$H12)^E$19-1)/$H12)-(สมมติฐาน!$C$26*(E$19&gt;=สมมติฐาน!$D$26)+$F12*(E$19&gt;=สมมติฐาน!$D$27)+สมมติฐาน!$C$28*(E$19&gt;=สมมติฐาน!$D$28)+$G12*(E$19&gt;=สมมติฐาน!$D$29))</f>
        <v>530000</v>
      </c>
      <c r="F26" s="17" t="n">
        <f aca="false">สมมติฐาน!$C$15+$C12*(F$19&gt;=สมมติฐาน!$C$13)+$D12*(F$19&gt;=$E12)-IF($H12=0,สมมติฐาน!$C$21*F$19,สมมติฐาน!$C$21*((1+$H12)^F$19-1)/$H12)-(สมมติฐาน!$C$26*(F$19&gt;=สมมติฐาน!$D$26)+$F12*(F$19&gt;=สมมติฐาน!$D$27)+สมมติฐาน!$C$28*(F$19&gt;=สมมติฐาน!$D$28)+$G12*(F$19&gt;=สมมติฐาน!$D$29))</f>
        <v>380000</v>
      </c>
      <c r="G26" s="17" t="n">
        <f aca="false">สมมติฐาน!$C$15+$C12*(G$19&gt;=สมมติฐาน!$C$13)+$D12*(G$19&gt;=$E12)-IF($H12=0,สมมติฐาน!$C$21*G$19,สมมติฐาน!$C$21*((1+$H12)^G$19-1)/$H12)-(สมมติฐาน!$C$26*(G$19&gt;=สมมติฐาน!$D$26)+$F12*(G$19&gt;=สมมติฐาน!$D$27)+สมมติฐาน!$C$28*(G$19&gt;=สมมติฐาน!$D$28)+$G12*(G$19&gt;=สมมติฐาน!$D$29))</f>
        <v>230000</v>
      </c>
      <c r="H26" s="17" t="n">
        <f aca="false">สมมติฐาน!$C$15+$C12*(H$19&gt;=สมมติฐาน!$C$13)+$D12*(H$19&gt;=$E12)-IF($H12=0,สมมติฐาน!$C$21*H$19,สมมติฐาน!$C$21*((1+$H12)^H$19-1)/$H12)-(สมมติฐาน!$C$26*(H$19&gt;=สมมติฐาน!$D$26)+$F12*(H$19&gt;=สมมติฐาน!$D$27)+สมมติฐาน!$C$28*(H$19&gt;=สมมติฐาน!$D$28)+$G12*(H$19&gt;=สมมติฐาน!$D$29))</f>
        <v>-70000</v>
      </c>
      <c r="I26" s="17" t="n">
        <f aca="false">สมมติฐาน!$C$15+$C12*(I$19&gt;=สมมติฐาน!$C$13)+$D12*(I$19&gt;=$E12)-IF($H12=0,สมมติฐาน!$C$21*I$19,สมมติฐาน!$C$21*((1+$H12)^I$19-1)/$H12)-(สมมติฐาน!$C$26*(I$19&gt;=สมมติฐาน!$D$26)+$F12*(I$19&gt;=สมมติฐาน!$D$27)+สมมติฐาน!$C$28*(I$19&gt;=สมมติฐาน!$D$28)+$G12*(I$19&gt;=สมมติฐาน!$D$29))</f>
        <v>780000</v>
      </c>
      <c r="J26" s="17" t="n">
        <f aca="false">สมมติฐาน!$C$15+$C12*(J$19&gt;=สมมติฐาน!$C$13)+$D12*(J$19&gt;=$E12)-IF($H12=0,สมมติฐาน!$C$21*J$19,สมมติฐาน!$C$21*((1+$H12)^J$19-1)/$H12)-(สมมติฐาน!$C$26*(J$19&gt;=สมมติฐาน!$D$26)+$F12*(J$19&gt;=สมมติฐาน!$D$27)+สมมติฐาน!$C$28*(J$19&gt;=สมมติฐาน!$D$28)+$G12*(J$19&gt;=สมมติฐาน!$D$29))</f>
        <v>630000</v>
      </c>
      <c r="K26" s="17" t="n">
        <f aca="false">สมมติฐาน!$C$15+$C12*(K$19&gt;=สมมติฐาน!$C$13)+$D12*(K$19&gt;=$E12)-IF($H12=0,สมมติฐาน!$C$21*K$19,สมมติฐาน!$C$21*((1+$H12)^K$19-1)/$H12)-(สมมติฐาน!$C$26*(K$19&gt;=สมมติฐาน!$D$26)+$F12*(K$19&gt;=สมมติฐาน!$D$27)+สมมติฐาน!$C$28*(K$19&gt;=สมมติฐาน!$D$28)+$G12*(K$19&gt;=สมมติฐาน!$D$29))</f>
        <v>240000</v>
      </c>
      <c r="L26" s="17" t="n">
        <f aca="false">สมมติฐาน!$C$15+$C12*(L$19&gt;=สมมติฐาน!$C$13)+$D12*(L$19&gt;=$E12)-IF($H12=0,สมมติฐาน!$C$21*L$19,สมมติฐาน!$C$21*((1+$H12)^L$19-1)/$H12)-(สมมติฐาน!$C$26*(L$19&gt;=สมมติฐาน!$D$26)+$F12*(L$19&gt;=สมมติฐาน!$D$27)+สมมติฐาน!$C$28*(L$19&gt;=สมมติฐาน!$D$28)+$G12*(L$19&gt;=สมมติฐาน!$D$29))</f>
        <v>90000</v>
      </c>
      <c r="M26" s="17" t="n">
        <f aca="false">สมมติฐาน!$C$15+$C12*(M$19&gt;=สมมติฐาน!$C$13)+$D12*(M$19&gt;=$E12)-IF($H12=0,สมมติฐาน!$C$21*M$19,สมมติฐาน!$C$21*((1+$H12)^M$19-1)/$H12)-(สมมติฐาน!$C$26*(M$19&gt;=สมมติฐาน!$D$26)+$F12*(M$19&gt;=สมมติฐาน!$D$27)+สมมติฐาน!$C$28*(M$19&gt;=สมมติฐาน!$D$28)+$G12*(M$19&gt;=สมมติฐาน!$D$29))</f>
        <v>-60000</v>
      </c>
      <c r="N26" s="17" t="n">
        <f aca="false">สมมติฐาน!$C$15+$C12*(N$19&gt;=สมมติฐาน!$C$13)+$D12*(N$19&gt;=$E12)-IF($H12=0,สมมติฐาน!$C$21*N$19,สมมติฐาน!$C$21*((1+$H12)^N$19-1)/$H12)-(สมมติฐาน!$C$26*(N$19&gt;=สมมติฐาน!$D$26)+$F12*(N$19&gt;=สมมติฐาน!$D$27)+สมมติฐาน!$C$28*(N$19&gt;=สมมติฐาน!$D$28)+$G12*(N$19&gt;=สมมติฐาน!$D$29))</f>
        <v>-210000</v>
      </c>
      <c r="O26" s="17" t="n">
        <f aca="false">สมมติฐาน!$C$15+$C12*(O$19&gt;=สมมติฐาน!$C$13)+$D12*(O$19&gt;=$E12)-IF($H12=0,สมมติฐาน!$C$21*O$19,สมมติฐาน!$C$21*((1+$H12)^O$19-1)/$H12)-(สมมติฐาน!$C$26*(O$19&gt;=สมมติฐาน!$D$26)+$F12*(O$19&gt;=สมมติฐาน!$D$27)+สมมติฐาน!$C$28*(O$19&gt;=สมมติฐาน!$D$28)+$G12*(O$19&gt;=สมมติฐาน!$D$29))</f>
        <v>-360000</v>
      </c>
      <c r="P26" s="17" t="n">
        <f aca="false">สมมติฐาน!$C$15+$C12*(P$19&gt;=สมมติฐาน!$C$13)+$D12*(P$19&gt;=$E12)-IF($H12=0,สมมติฐาน!$C$21*P$19,สมมติฐาน!$C$21*((1+$H12)^P$19-1)/$H12)-(สมมติฐาน!$C$26*(P$19&gt;=สมมติฐาน!$D$26)+$F12*(P$19&gt;=สมมติฐาน!$D$27)+สมมติฐาน!$C$28*(P$19&gt;=สมมติฐาน!$D$28)+$G12*(P$19&gt;=สมมติฐาน!$D$29))</f>
        <v>-510000</v>
      </c>
      <c r="Q26" s="17" t="n">
        <f aca="false">สมมติฐาน!$C$15+$C12*(Q$19&gt;=สมมติฐาน!$C$13)+$D12*(Q$19&gt;=$E12)-IF($H12=0,สมมติฐาน!$C$21*Q$19,สมมติฐาน!$C$21*((1+$H12)^Q$19-1)/$H12)-(สมมติฐาน!$C$26*(Q$19&gt;=สมมติฐาน!$D$26)+$F12*(Q$19&gt;=สมมติฐาน!$D$27)+สมมติฐาน!$C$28*(Q$19&gt;=สมมติฐาน!$D$28)+$G12*(Q$19&gt;=สมมติฐาน!$D$29))</f>
        <v>-660000</v>
      </c>
      <c r="R26" s="17" t="n">
        <f aca="false">สมมติฐาน!$C$15+$C12*(R$19&gt;=สมมติฐาน!$C$13)+$D12*(R$19&gt;=$E12)-IF($H12=0,สมมติฐาน!$C$21*R$19,สมมติฐาน!$C$21*((1+$H12)^R$19-1)/$H12)-(สมมติฐาน!$C$26*(R$19&gt;=สมมติฐาน!$D$26)+$F12*(R$19&gt;=สมมติฐาน!$D$27)+สมมติฐาน!$C$28*(R$19&gt;=สมมติฐาน!$D$28)+$G12*(R$19&gt;=สมมติฐาน!$D$29))</f>
        <v>-810000</v>
      </c>
      <c r="S26" s="17" t="n">
        <f aca="false">สมมติฐาน!$C$15+$C12*(S$19&gt;=สมมติฐาน!$C$13)+$D12*(S$19&gt;=$E12)-IF($H12=0,สมมติฐาน!$C$21*S$19,สมมติฐาน!$C$21*((1+$H12)^S$19-1)/$H12)-(สมมติฐาน!$C$26*(S$19&gt;=สมมติฐาน!$D$26)+$F12*(S$19&gt;=สมมติฐาน!$D$27)+สมมติฐาน!$C$28*(S$19&gt;=สมมติฐาน!$D$28)+$G12*(S$19&gt;=สมมติฐาน!$D$29))</f>
        <v>-960000</v>
      </c>
      <c r="T26" s="17" t="n">
        <f aca="false">สมมติฐาน!$C$15+$C12*(T$19&gt;=สมมติฐาน!$C$13)+$D12*(T$19&gt;=$E12)-IF($H12=0,สมมติฐาน!$C$21*T$19,สมมติฐาน!$C$21*((1+$H12)^T$19-1)/$H12)-(สมมติฐาน!$C$26*(T$19&gt;=สมมติฐาน!$D$26)+$F12*(T$19&gt;=สมมติฐาน!$D$27)+สมมติฐาน!$C$28*(T$19&gt;=สมมติฐาน!$D$28)+$G12*(T$19&gt;=สมมติฐาน!$D$29))</f>
        <v>-1110000</v>
      </c>
      <c r="U26" s="17" t="n">
        <f aca="false">สมมติฐาน!$C$15+$C12*(U$19&gt;=สมมติฐาน!$C$13)+$D12*(U$19&gt;=$E12)-IF($H12=0,สมมติฐาน!$C$21*U$19,สมมติฐาน!$C$21*((1+$H12)^U$19-1)/$H12)-(สมมติฐาน!$C$26*(U$19&gt;=สมมติฐาน!$D$26)+$F12*(U$19&gt;=สมมติฐาน!$D$27)+สมมติฐาน!$C$28*(U$19&gt;=สมมติฐาน!$D$28)+$G12*(U$19&gt;=สมมติฐาน!$D$29))</f>
        <v>-1260000</v>
      </c>
      <c r="V26" s="17" t="n">
        <f aca="false">สมมติฐาน!$C$15+$C12*(V$19&gt;=สมมติฐาน!$C$13)+$D12*(V$19&gt;=$E12)-IF($H12=0,สมมติฐาน!$C$21*V$19,สมมติฐาน!$C$21*((1+$H12)^V$19-1)/$H12)-(สมมติฐาน!$C$26*(V$19&gt;=สมมติฐาน!$D$26)+$F12*(V$19&gt;=สมมติฐาน!$D$27)+สมมติฐาน!$C$28*(V$19&gt;=สมมติฐาน!$D$28)+$G12*(V$19&gt;=สมมติฐาน!$D$29))</f>
        <v>-1410000</v>
      </c>
      <c r="W26" s="17" t="n">
        <f aca="false">สมมติฐาน!$C$15+$C12*(W$19&gt;=สมมติฐาน!$C$13)+$D12*(W$19&gt;=$E12)-IF($H12=0,สมมติฐาน!$C$21*W$19,สมมติฐาน!$C$21*((1+$H12)^W$19-1)/$H12)-(สมมติฐาน!$C$26*(W$19&gt;=สมมติฐาน!$D$26)+$F12*(W$19&gt;=สมมติฐาน!$D$27)+สมมติฐาน!$C$28*(W$19&gt;=สมมติฐาน!$D$28)+$G12*(W$19&gt;=สมมติฐาน!$D$29))</f>
        <v>-1560000</v>
      </c>
      <c r="X26" s="17" t="n">
        <f aca="false">สมมติฐาน!$C$15+$C12*(X$19&gt;=สมมติฐาน!$C$13)+$D12*(X$19&gt;=$E12)-IF($H12=0,สมมติฐาน!$C$21*X$19,สมมติฐาน!$C$21*((1+$H12)^X$19-1)/$H12)-(สมมติฐาน!$C$26*(X$19&gt;=สมมติฐาน!$D$26)+$F12*(X$19&gt;=สมมติฐาน!$D$27)+สมมติฐาน!$C$28*(X$19&gt;=สมมติฐาน!$D$28)+$G12*(X$19&gt;=สมมติฐาน!$D$29))</f>
        <v>-1710000</v>
      </c>
      <c r="Y26" s="17" t="n">
        <f aca="false">สมมติฐาน!$C$15+$C12*(Y$19&gt;=สมมติฐาน!$C$13)+$D12*(Y$19&gt;=$E12)-IF($H12=0,สมมติฐาน!$C$21*Y$19,สมมติฐาน!$C$21*((1+$H12)^Y$19-1)/$H12)-(สมมติฐาน!$C$26*(Y$19&gt;=สมมติฐาน!$D$26)+$F12*(Y$19&gt;=สมมติฐาน!$D$27)+สมมติฐาน!$C$28*(Y$19&gt;=สมมติฐาน!$D$28)+$G12*(Y$19&gt;=สมมติฐาน!$D$29))</f>
        <v>-1860000</v>
      </c>
      <c r="Z26" s="17" t="n">
        <f aca="false">สมมติฐาน!$C$15+$C12*(Z$19&gt;=สมมติฐาน!$C$13)+$D12*(Z$19&gt;=$E12)-IF($H12=0,สมมติฐาน!$C$21*Z$19,สมมติฐาน!$C$21*((1+$H12)^Z$19-1)/$H12)-(สมมติฐาน!$C$26*(Z$19&gt;=สมมติฐาน!$D$26)+$F12*(Z$19&gt;=สมมติฐาน!$D$27)+สมมติฐาน!$C$28*(Z$19&gt;=สมมติฐาน!$D$28)+$G12*(Z$19&gt;=สมมติฐาน!$D$29))</f>
        <v>-2010000</v>
      </c>
    </row>
    <row r="27" customFormat="false" ht="15" hidden="false" customHeight="false" outlineLevel="0" collapsed="false">
      <c r="B27" s="4" t="str">
        <f aca="false">B13</f>
        <v>ค่าใช้จ่ายเพิ่ม 2% ต่อเดือน</v>
      </c>
      <c r="C27" s="17" t="n">
        <f aca="false">สมมติฐาน!$C$15+$C13*(C$19&gt;=สมมติฐาน!$C$13)+$D13*(C$19&gt;=$E13)-IF($H13=0,สมมติฐาน!$C$21*C$19,สมมติฐาน!$C$21*((1+$H13)^C$19-1)/$H13)-(สมมติฐาน!$C$26*(C$19&gt;=สมมติฐาน!$D$26)+$F13*(C$19&gt;=สมมติฐาน!$D$27)+สมมติฐาน!$C$28*(C$19&gt;=สมมติฐาน!$D$28)+$G13*(C$19&gt;=สมมติฐาน!$D$29))</f>
        <v>1730000</v>
      </c>
      <c r="D27" s="17" t="n">
        <f aca="false">สมมติฐาน!$C$15+$C13*(D$19&gt;=สมมติฐาน!$C$13)+$D13*(D$19&gt;=$E13)-IF($H13=0,สมมติฐาน!$C$21*D$19,สมมติฐาน!$C$21*((1+$H13)^D$19-1)/$H13)-(สมมติฐาน!$C$26*(D$19&gt;=สมมติฐาน!$D$26)+$F13*(D$19&gt;=สมมติฐาน!$D$27)+สมมติฐาน!$C$28*(D$19&gt;=สมมติฐาน!$D$28)+$G13*(D$19&gt;=สมมติฐาน!$D$29))</f>
        <v>1127000</v>
      </c>
      <c r="E27" s="17" t="n">
        <f aca="false">สมมติฐาน!$C$15+$C13*(E$19&gt;=สมมติฐาน!$C$13)+$D13*(E$19&gt;=$E13)-IF($H13=0,สมมติฐาน!$C$21*E$19,สมมติฐาน!$C$21*((1+$H13)^E$19-1)/$H13)-(สมมติฐาน!$C$26*(E$19&gt;=สมมติฐาน!$D$26)+$F13*(E$19&gt;=สมมติฐาน!$D$27)+สมมติฐาน!$C$28*(E$19&gt;=สมมติฐาน!$D$28)+$G13*(E$19&gt;=สมมติฐาน!$D$29))</f>
        <v>970939.999999999</v>
      </c>
      <c r="F27" s="17" t="n">
        <f aca="false">สมมติฐาน!$C$15+$C13*(F$19&gt;=สมมติฐาน!$C$13)+$D13*(F$19&gt;=$E13)-IF($H13=0,สมมติฐาน!$C$21*F$19,สมมติฐาน!$C$21*((1+$H13)^F$19-1)/$H13)-(สมมติฐาน!$C$26*(F$19&gt;=สมมติฐาน!$D$26)+$F13*(F$19&gt;=สมมติฐาน!$D$27)+สมมติฐาน!$C$28*(F$19&gt;=สมมติฐาน!$D$28)+$G13*(F$19&gt;=สมมติฐาน!$D$29))</f>
        <v>811758.8</v>
      </c>
      <c r="G27" s="17" t="n">
        <f aca="false">สมมติฐาน!$C$15+$C13*(G$19&gt;=สมมติฐาน!$C$13)+$D13*(G$19&gt;=$E13)-IF($H13=0,สมมติฐาน!$C$21*G$19,สมมติฐาน!$C$21*((1+$H13)^G$19-1)/$H13)-(สมมติฐาน!$C$26*(G$19&gt;=สมมติฐาน!$D$26)+$F13*(G$19&gt;=สมมติฐาน!$D$27)+สมมติฐาน!$C$28*(G$19&gt;=สมมติฐาน!$D$28)+$G13*(G$19&gt;=สมมติฐาน!$D$29))</f>
        <v>649393.976</v>
      </c>
      <c r="H27" s="17" t="n">
        <f aca="false">สมมติฐาน!$C$15+$C13*(H$19&gt;=สมมติฐาน!$C$13)+$D13*(H$19&gt;=$E13)-IF($H13=0,สมมติฐาน!$C$21*H$19,สมมติฐาน!$C$21*((1+$H13)^H$19-1)/$H13)-(สมมติฐาน!$C$26*(H$19&gt;=สมมติฐาน!$D$26)+$F13*(H$19&gt;=สมมติฐาน!$D$27)+สมมติฐาน!$C$28*(H$19&gt;=สมมติฐาน!$D$28)+$G13*(H$19&gt;=สมมติฐาน!$D$29))</f>
        <v>333781.855519999</v>
      </c>
      <c r="I27" s="17" t="n">
        <f aca="false">สมมติฐาน!$C$15+$C13*(I$19&gt;=สมมติฐาน!$C$13)+$D13*(I$19&gt;=$E13)-IF($H13=0,สมมติฐาน!$C$21*I$19,สมมติฐาน!$C$21*((1+$H13)^I$19-1)/$H13)-(สมมติฐาน!$C$26*(I$19&gt;=สมมติฐาน!$D$26)+$F13*(I$19&gt;=สมมติฐาน!$D$27)+สมมติฐาน!$C$28*(I$19&gt;=สมมติฐาน!$D$28)+$G13*(I$19&gt;=สมมติฐาน!$D$29))</f>
        <v>1164857.4926304</v>
      </c>
      <c r="J27" s="17" t="n">
        <f aca="false">สมมติฐาน!$C$15+$C13*(J$19&gt;=สมมติฐาน!$C$13)+$D13*(J$19&gt;=$E13)-IF($H13=0,สมมติฐาน!$C$21*J$19,สมมติฐาน!$C$21*((1+$H13)^J$19-1)/$H13)-(สมมติฐาน!$C$26*(J$19&gt;=สมมติฐาน!$D$26)+$F13*(J$19&gt;=สมมติฐาน!$D$27)+สมมติฐาน!$C$28*(J$19&gt;=สมมติฐาน!$D$28)+$G13*(J$19&gt;=สมมติฐาน!$D$29))</f>
        <v>992554.642483007</v>
      </c>
      <c r="K27" s="17" t="n">
        <f aca="false">สมมติฐาน!$C$15+$C13*(K$19&gt;=สมมติฐาน!$C$13)+$D13*(K$19&gt;=$E13)-IF($H13=0,สมมติฐาน!$C$21*K$19,สมมติฐาน!$C$21*((1+$H13)^K$19-1)/$H13)-(สมมติฐาน!$C$26*(K$19&gt;=สมมติฐาน!$D$26)+$F13*(K$19&gt;=สมมติฐาน!$D$27)+สมมติฐาน!$C$28*(K$19&gt;=สมมติฐาน!$D$28)+$G13*(K$19&gt;=สมมติฐาน!$D$29))</f>
        <v>576805.735332667</v>
      </c>
      <c r="L27" s="17" t="n">
        <f aca="false">สมมติฐาน!$C$15+$C13*(L$19&gt;=สมมติฐาน!$C$13)+$D13*(L$19&gt;=$E13)-IF($H13=0,สมมติฐาน!$C$21*L$19,สมมติฐาน!$C$21*((1+$H13)^L$19-1)/$H13)-(สมมติฐาน!$C$26*(L$19&gt;=สมมติฐาน!$D$26)+$F13*(L$19&gt;=สมมติฐาน!$D$27)+สมมติฐาน!$C$28*(L$19&gt;=สมมติฐาน!$D$28)+$G13*(L$19&gt;=สมมติฐาน!$D$29))</f>
        <v>397541.85003932</v>
      </c>
      <c r="M27" s="17" t="n">
        <f aca="false">สมมติฐาน!$C$15+$C13*(M$19&gt;=สมมติฐาน!$C$13)+$D13*(M$19&gt;=$E13)-IF($H13=0,สมมติฐาน!$C$21*M$19,สมมติฐาน!$C$21*((1+$H13)^M$19-1)/$H13)-(สมมติฐาน!$C$26*(M$19&gt;=สมมติฐาน!$D$26)+$F13*(M$19&gt;=สมมติฐาน!$D$27)+สมมติฐาน!$C$28*(M$19&gt;=สมมติฐาน!$D$28)+$G13*(M$19&gt;=สมมติฐาน!$D$29))</f>
        <v>214692.687040106</v>
      </c>
      <c r="N27" s="17" t="n">
        <f aca="false">สมมติฐาน!$C$15+$C13*(N$19&gt;=สมมติฐาน!$C$13)+$D13*(N$19&gt;=$E13)-IF($H13=0,สมมติฐาน!$C$21*N$19,สมมติฐาน!$C$21*((1+$H13)^N$19-1)/$H13)-(สมมติฐาน!$C$26*(N$19&gt;=สมมติฐาน!$D$26)+$F13*(N$19&gt;=สมมติฐาน!$D$27)+สมมติฐาน!$C$28*(N$19&gt;=สมมติฐาน!$D$28)+$G13*(N$19&gt;=สมมติฐาน!$D$29))</f>
        <v>28186.5407809089</v>
      </c>
      <c r="O27" s="17" t="n">
        <f aca="false">สมมติฐาน!$C$15+$C13*(O$19&gt;=สมมติฐาน!$C$13)+$D13*(O$19&gt;=$E13)-IF($H13=0,สมมติฐาน!$C$21*O$19,สมมติฐาน!$C$21*((1+$H13)^O$19-1)/$H13)-(สมมติฐาน!$C$26*(O$19&gt;=สมมติฐาน!$D$26)+$F13*(O$19&gt;=สมมติฐาน!$D$27)+สมมติฐาน!$C$28*(O$19&gt;=สมมติฐาน!$D$28)+$G13*(O$19&gt;=สมมติฐาน!$D$29))</f>
        <v>-162049.728403474</v>
      </c>
      <c r="P27" s="17" t="n">
        <f aca="false">สมมติฐาน!$C$15+$C13*(P$19&gt;=สมมติฐาน!$C$13)+$D13*(P$19&gt;=$E13)-IF($H13=0,สมมติฐาน!$C$21*P$19,สมมติฐาน!$C$21*((1+$H13)^P$19-1)/$H13)-(สมมติฐาน!$C$26*(P$19&gt;=สมมติฐาน!$D$26)+$F13*(P$19&gt;=สมมติฐาน!$D$27)+สมมติฐาน!$C$28*(P$19&gt;=สมมติฐาน!$D$28)+$G13*(P$19&gt;=สมมติฐาน!$D$29))</f>
        <v>-356090.722971543</v>
      </c>
      <c r="Q27" s="17" t="n">
        <f aca="false">สมมติฐาน!$C$15+$C13*(Q$19&gt;=สมมติฐาน!$C$13)+$D13*(Q$19&gt;=$E13)-IF($H13=0,สมมติฐาน!$C$21*Q$19,สมมติฐาน!$C$21*((1+$H13)^Q$19-1)/$H13)-(สมมติฐาน!$C$26*(Q$19&gt;=สมมติฐาน!$D$26)+$F13*(Q$19&gt;=สมมติฐาน!$D$27)+สมมติฐาน!$C$28*(Q$19&gt;=สมมติฐาน!$D$28)+$G13*(Q$19&gt;=สมมติฐาน!$D$29))</f>
        <v>-554012.537430974</v>
      </c>
      <c r="R27" s="17" t="n">
        <f aca="false">สมมติฐาน!$C$15+$C13*(R$19&gt;=สมมติฐาน!$C$13)+$D13*(R$19&gt;=$E13)-IF($H13=0,สมมติฐาน!$C$21*R$19,สมมติฐาน!$C$21*((1+$H13)^R$19-1)/$H13)-(สมมติฐาน!$C$26*(R$19&gt;=สมมติฐาน!$D$26)+$F13*(R$19&gt;=สมมติฐาน!$D$27)+สมมติฐาน!$C$28*(R$19&gt;=สมมติฐาน!$D$28)+$G13*(R$19&gt;=สมมติฐาน!$D$29))</f>
        <v>-755892.788179594</v>
      </c>
      <c r="S27" s="17" t="n">
        <f aca="false">สมมติฐาน!$C$15+$C13*(S$19&gt;=สมมติฐาน!$C$13)+$D13*(S$19&gt;=$E13)-IF($H13=0,สมมติฐาน!$C$21*S$19,สมมติฐาน!$C$21*((1+$H13)^S$19-1)/$H13)-(สมมติฐาน!$C$26*(S$19&gt;=สมมติฐาน!$D$26)+$F13*(S$19&gt;=สมมติฐาน!$D$27)+สมมติฐาน!$C$28*(S$19&gt;=สมมติฐาน!$D$28)+$G13*(S$19&gt;=สมมติฐาน!$D$29))</f>
        <v>-961810.643943186</v>
      </c>
      <c r="T27" s="17" t="n">
        <f aca="false">สมมติฐาน!$C$15+$C13*(T$19&gt;=สมมติฐาน!$C$13)+$D13*(T$19&gt;=$E13)-IF($H13=0,สมมติฐาน!$C$21*T$19,สมมติฐาน!$C$21*((1+$H13)^T$19-1)/$H13)-(สมมติฐาน!$C$26*(T$19&gt;=สมมติฐาน!$D$26)+$F13*(T$19&gt;=สมมติฐาน!$D$27)+สมมติฐาน!$C$28*(T$19&gt;=สมมติฐาน!$D$28)+$G13*(T$19&gt;=สมมติฐาน!$D$29))</f>
        <v>-1171846.85682205</v>
      </c>
      <c r="U27" s="17" t="n">
        <f aca="false">สมมติฐาน!$C$15+$C13*(U$19&gt;=สมมติฐาน!$C$13)+$D13*(U$19&gt;=$E13)-IF($H13=0,สมมติฐาน!$C$21*U$19,สมมติฐาน!$C$21*((1+$H13)^U$19-1)/$H13)-(สมมติฐาน!$C$26*(U$19&gt;=สมมติฐาน!$D$26)+$F13*(U$19&gt;=สมมติฐาน!$D$27)+สมมติฐาน!$C$28*(U$19&gt;=สมมติฐาน!$D$28)+$G13*(U$19&gt;=สมมติฐาน!$D$29))</f>
        <v>-1386083.79395849</v>
      </c>
      <c r="V27" s="17" t="n">
        <f aca="false">สมมติฐาน!$C$15+$C13*(V$19&gt;=สมมติฐาน!$C$13)+$D13*(V$19&gt;=$E13)-IF($H13=0,สมมติฐาน!$C$21*V$19,สมมติฐาน!$C$21*((1+$H13)^V$19-1)/$H13)-(สมมติฐาน!$C$26*(V$19&gt;=สมมติฐาน!$D$26)+$F13*(V$19&gt;=สมมติฐาน!$D$27)+สมมติฐาน!$C$28*(V$19&gt;=สมมติฐาน!$D$28)+$G13*(V$19&gt;=สมมติฐาน!$D$29))</f>
        <v>-1604605.46983766</v>
      </c>
      <c r="W27" s="17" t="n">
        <f aca="false">สมมติฐาน!$C$15+$C13*(W$19&gt;=สมมติฐาน!$C$13)+$D13*(W$19&gt;=$E13)-IF($H13=0,สมมติฐาน!$C$21*W$19,สมมติฐาน!$C$21*((1+$H13)^W$19-1)/$H13)-(สมมติฐาน!$C$26*(W$19&gt;=สมมติฐาน!$D$26)+$F13*(W$19&gt;=สมมติฐาน!$D$27)+สมมติฐาน!$C$28*(W$19&gt;=สมมติฐาน!$D$28)+$G13*(W$19&gt;=สมมติฐาน!$D$29))</f>
        <v>-1827497.57923441</v>
      </c>
      <c r="X27" s="17" t="n">
        <f aca="false">สมมติฐาน!$C$15+$C13*(X$19&gt;=สมมติฐาน!$C$13)+$D13*(X$19&gt;=$E13)-IF($H13=0,สมมติฐาน!$C$21*X$19,สมมติฐาน!$C$21*((1+$H13)^X$19-1)/$H13)-(สมมติฐาน!$C$26*(X$19&gt;=สมมติฐาน!$D$26)+$F13*(X$19&gt;=สมมติฐาน!$D$27)+สมมติฐาน!$C$28*(X$19&gt;=สมมติฐาน!$D$28)+$G13*(X$19&gt;=สมมติฐาน!$D$29))</f>
        <v>-2054847.5308191</v>
      </c>
      <c r="Y27" s="17" t="n">
        <f aca="false">สมมติฐาน!$C$15+$C13*(Y$19&gt;=สมมติฐาน!$C$13)+$D13*(Y$19&gt;=$E13)-IF($H13=0,สมมติฐาน!$C$21*Y$19,สมมติฐาน!$C$21*((1+$H13)^Y$19-1)/$H13)-(สมมติฐาน!$C$26*(Y$19&gt;=สมมติฐาน!$D$26)+$F13*(Y$19&gt;=สมมติฐาน!$D$27)+สมมติฐาน!$C$28*(Y$19&gt;=สมมติฐาน!$D$28)+$G13*(Y$19&gt;=สมมติฐาน!$D$29))</f>
        <v>-2286744.48143549</v>
      </c>
      <c r="Z27" s="17" t="n">
        <f aca="false">สมมติฐาน!$C$15+$C13*(Z$19&gt;=สมมติฐาน!$C$13)+$D13*(Z$19&gt;=$E13)-IF($H13=0,สมมติฐาน!$C$21*Z$19,สมมติฐาน!$C$21*((1+$H13)^Z$19-1)/$H13)-(สมมติฐาน!$C$26*(Z$19&gt;=สมมติฐาน!$D$26)+$F13*(Z$19&gt;=สมมติฐาน!$D$27)+สมมติฐาน!$C$28*(Z$19&gt;=สมมติฐาน!$D$28)+$G13*(Z$19&gt;=สมมติฐาน!$D$29))</f>
        <v>-2523279.3710642</v>
      </c>
    </row>
    <row r="28" customFormat="false" ht="15" hidden="false" customHeight="false" outlineLevel="0" collapsed="false">
      <c r="B28" s="4" t="str">
        <f aca="false">B14</f>
        <v>ฮาร์ดแวร์ 400,000</v>
      </c>
      <c r="C28" s="17" t="n">
        <f aca="false">สมมติฐาน!$C$15+$C14*(C$19&gt;=สมมติฐาน!$C$13)+$D14*(C$19&gt;=$E14)-IF($H14=0,สมมติฐาน!$C$21*C$19,สมมติฐาน!$C$21*((1+$H14)^C$19-1)/$H14)-(สมมติฐาน!$C$26*(C$19&gt;=สมมติฐาน!$D$26)+$F14*(C$19&gt;=สมมติฐาน!$D$27)+สมมติฐาน!$C$28*(C$19&gt;=สมมติฐาน!$D$28)+$G14*(C$19&gt;=สมมติฐาน!$D$29))</f>
        <v>1730000</v>
      </c>
      <c r="D28" s="17" t="n">
        <f aca="false">สมมติฐาน!$C$15+$C14*(D$19&gt;=สมมติฐาน!$C$13)+$D14*(D$19&gt;=$E14)-IF($H14=0,สมมติฐาน!$C$21*D$19,สมมติฐาน!$C$21*((1+$H14)^D$19-1)/$H14)-(สมมติฐาน!$C$26*(D$19&gt;=สมมติฐาน!$D$26)+$F14*(D$19&gt;=สมมติฐาน!$D$27)+สมมติฐาน!$C$28*(D$19&gt;=สมมติฐาน!$D$28)+$G14*(D$19&gt;=สมมติฐาน!$D$29))</f>
        <v>1130000</v>
      </c>
      <c r="E28" s="17" t="n">
        <f aca="false">สมมติฐาน!$C$15+$C14*(E$19&gt;=สมมติฐาน!$C$13)+$D14*(E$19&gt;=$E14)-IF($H14=0,สมมติฐาน!$C$21*E$19,สมมติฐาน!$C$21*((1+$H14)^E$19-1)/$H14)-(สมมติฐาน!$C$26*(E$19&gt;=สมมติฐาน!$D$26)+$F14*(E$19&gt;=สมมติฐาน!$D$27)+สมมติฐาน!$C$28*(E$19&gt;=สมมติฐาน!$D$28)+$G14*(E$19&gt;=สมมติฐาน!$D$29))</f>
        <v>980000</v>
      </c>
      <c r="F28" s="17" t="n">
        <f aca="false">สมมติฐาน!$C$15+$C14*(F$19&gt;=สมมติฐาน!$C$13)+$D14*(F$19&gt;=$E14)-IF($H14=0,สมมติฐาน!$C$21*F$19,สมมติฐาน!$C$21*((1+$H14)^F$19-1)/$H14)-(สมมติฐาน!$C$26*(F$19&gt;=สมมติฐาน!$D$26)+$F14*(F$19&gt;=สมมติฐาน!$D$27)+สมมติฐาน!$C$28*(F$19&gt;=สมมติฐาน!$D$28)+$G14*(F$19&gt;=สมมติฐาน!$D$29))</f>
        <v>830000</v>
      </c>
      <c r="G28" s="17" t="n">
        <f aca="false">สมมติฐาน!$C$15+$C14*(G$19&gt;=สมมติฐาน!$C$13)+$D14*(G$19&gt;=$E14)-IF($H14=0,สมมติฐาน!$C$21*G$19,สมมติฐาน!$C$21*((1+$H14)^G$19-1)/$H14)-(สมมติฐาน!$C$26*(G$19&gt;=สมมติฐาน!$D$26)+$F14*(G$19&gt;=สมมติฐาน!$D$27)+สมมติฐาน!$C$28*(G$19&gt;=สมมติฐาน!$D$28)+$G14*(G$19&gt;=สมมติฐาน!$D$29))</f>
        <v>680000</v>
      </c>
      <c r="H28" s="17" t="n">
        <f aca="false">สมมติฐาน!$C$15+$C14*(H$19&gt;=สมมติฐาน!$C$13)+$D14*(H$19&gt;=$E14)-IF($H14=0,สมมติฐาน!$C$21*H$19,สมมติฐาน!$C$21*((1+$H14)^H$19-1)/$H14)-(สมมติฐาน!$C$26*(H$19&gt;=สมมติฐาน!$D$26)+$F14*(H$19&gt;=สมมติฐาน!$D$27)+สมมติฐาน!$C$28*(H$19&gt;=สมมติฐาน!$D$28)+$G14*(H$19&gt;=สมมติฐาน!$D$29))</f>
        <v>380000</v>
      </c>
      <c r="I28" s="17" t="n">
        <f aca="false">สมมติฐาน!$C$15+$C14*(I$19&gt;=สมมติฐาน!$C$13)+$D14*(I$19&gt;=$E14)-IF($H14=0,สมมติฐาน!$C$21*I$19,สมมติฐาน!$C$21*((1+$H14)^I$19-1)/$H14)-(สมมติฐาน!$C$26*(I$19&gt;=สมมติฐาน!$D$26)+$F14*(I$19&gt;=สมมติฐาน!$D$27)+สมมติฐาน!$C$28*(I$19&gt;=สมมติฐาน!$D$28)+$G14*(I$19&gt;=สมมติฐาน!$D$29))</f>
        <v>1230000</v>
      </c>
      <c r="J28" s="17" t="n">
        <f aca="false">สมมติฐาน!$C$15+$C14*(J$19&gt;=สมมติฐาน!$C$13)+$D14*(J$19&gt;=$E14)-IF($H14=0,สมมติฐาน!$C$21*J$19,สมมติฐาน!$C$21*((1+$H14)^J$19-1)/$H14)-(สมมติฐาน!$C$26*(J$19&gt;=สมมติฐาน!$D$26)+$F14*(J$19&gt;=สมมติฐาน!$D$27)+สมมติฐาน!$C$28*(J$19&gt;=สมมติฐาน!$D$28)+$G14*(J$19&gt;=สมมติฐาน!$D$29))</f>
        <v>1080000</v>
      </c>
      <c r="K28" s="17" t="n">
        <f aca="false">สมมติฐาน!$C$15+$C14*(K$19&gt;=สมมติฐาน!$C$13)+$D14*(K$19&gt;=$E14)-IF($H14=0,สมมติฐาน!$C$21*K$19,สมมติฐาน!$C$21*((1+$H14)^K$19-1)/$H14)-(สมมติฐาน!$C$26*(K$19&gt;=สมมติฐาน!$D$26)+$F14*(K$19&gt;=สมมติฐาน!$D$27)+สมมติฐาน!$C$28*(K$19&gt;=สมมติฐาน!$D$28)+$G14*(K$19&gt;=สมมติฐาน!$D$29))</f>
        <v>530000</v>
      </c>
      <c r="L28" s="17" t="n">
        <f aca="false">สมมติฐาน!$C$15+$C14*(L$19&gt;=สมมติฐาน!$C$13)+$D14*(L$19&gt;=$E14)-IF($H14=0,สมมติฐาน!$C$21*L$19,สมมติฐาน!$C$21*((1+$H14)^L$19-1)/$H14)-(สมมติฐาน!$C$26*(L$19&gt;=สมมติฐาน!$D$26)+$F14*(L$19&gt;=สมมติฐาน!$D$27)+สมมติฐาน!$C$28*(L$19&gt;=สมมติฐาน!$D$28)+$G14*(L$19&gt;=สมมติฐาน!$D$29))</f>
        <v>380000</v>
      </c>
      <c r="M28" s="17" t="n">
        <f aca="false">สมมติฐาน!$C$15+$C14*(M$19&gt;=สมมติฐาน!$C$13)+$D14*(M$19&gt;=$E14)-IF($H14=0,สมมติฐาน!$C$21*M$19,สมมติฐาน!$C$21*((1+$H14)^M$19-1)/$H14)-(สมมติฐาน!$C$26*(M$19&gt;=สมมติฐาน!$D$26)+$F14*(M$19&gt;=สมมติฐาน!$D$27)+สมมติฐาน!$C$28*(M$19&gt;=สมมติฐาน!$D$28)+$G14*(M$19&gt;=สมมติฐาน!$D$29))</f>
        <v>230000</v>
      </c>
      <c r="N28" s="17" t="n">
        <f aca="false">สมมติฐาน!$C$15+$C14*(N$19&gt;=สมมติฐาน!$C$13)+$D14*(N$19&gt;=$E14)-IF($H14=0,สมมติฐาน!$C$21*N$19,สมมติฐาน!$C$21*((1+$H14)^N$19-1)/$H14)-(สมมติฐาน!$C$26*(N$19&gt;=สมมติฐาน!$D$26)+$F14*(N$19&gt;=สมมติฐาน!$D$27)+สมมติฐาน!$C$28*(N$19&gt;=สมมติฐาน!$D$28)+$G14*(N$19&gt;=สมมติฐาน!$D$29))</f>
        <v>80000</v>
      </c>
      <c r="O28" s="17" t="n">
        <f aca="false">สมมติฐาน!$C$15+$C14*(O$19&gt;=สมมติฐาน!$C$13)+$D14*(O$19&gt;=$E14)-IF($H14=0,สมมติฐาน!$C$21*O$19,สมมติฐาน!$C$21*((1+$H14)^O$19-1)/$H14)-(สมมติฐาน!$C$26*(O$19&gt;=สมมติฐาน!$D$26)+$F14*(O$19&gt;=สมมติฐาน!$D$27)+สมมติฐาน!$C$28*(O$19&gt;=สมมติฐาน!$D$28)+$G14*(O$19&gt;=สมมติฐาน!$D$29))</f>
        <v>-70000</v>
      </c>
      <c r="P28" s="17" t="n">
        <f aca="false">สมมติฐาน!$C$15+$C14*(P$19&gt;=สมมติฐาน!$C$13)+$D14*(P$19&gt;=$E14)-IF($H14=0,สมมติฐาน!$C$21*P$19,สมมติฐาน!$C$21*((1+$H14)^P$19-1)/$H14)-(สมมติฐาน!$C$26*(P$19&gt;=สมมติฐาน!$D$26)+$F14*(P$19&gt;=สมมติฐาน!$D$27)+สมมติฐาน!$C$28*(P$19&gt;=สมมติฐาน!$D$28)+$G14*(P$19&gt;=สมมติฐาน!$D$29))</f>
        <v>-220000</v>
      </c>
      <c r="Q28" s="17" t="n">
        <f aca="false">สมมติฐาน!$C$15+$C14*(Q$19&gt;=สมมติฐาน!$C$13)+$D14*(Q$19&gt;=$E14)-IF($H14=0,สมมติฐาน!$C$21*Q$19,สมมติฐาน!$C$21*((1+$H14)^Q$19-1)/$H14)-(สมมติฐาน!$C$26*(Q$19&gt;=สมมติฐาน!$D$26)+$F14*(Q$19&gt;=สมมติฐาน!$D$27)+สมมติฐาน!$C$28*(Q$19&gt;=สมมติฐาน!$D$28)+$G14*(Q$19&gt;=สมมติฐาน!$D$29))</f>
        <v>-370000</v>
      </c>
      <c r="R28" s="17" t="n">
        <f aca="false">สมมติฐาน!$C$15+$C14*(R$19&gt;=สมมติฐาน!$C$13)+$D14*(R$19&gt;=$E14)-IF($H14=0,สมมติฐาน!$C$21*R$19,สมมติฐาน!$C$21*((1+$H14)^R$19-1)/$H14)-(สมมติฐาน!$C$26*(R$19&gt;=สมมติฐาน!$D$26)+$F14*(R$19&gt;=สมมติฐาน!$D$27)+สมมติฐาน!$C$28*(R$19&gt;=สมมติฐาน!$D$28)+$G14*(R$19&gt;=สมมติฐาน!$D$29))</f>
        <v>-520000</v>
      </c>
      <c r="S28" s="17" t="n">
        <f aca="false">สมมติฐาน!$C$15+$C14*(S$19&gt;=สมมติฐาน!$C$13)+$D14*(S$19&gt;=$E14)-IF($H14=0,สมมติฐาน!$C$21*S$19,สมมติฐาน!$C$21*((1+$H14)^S$19-1)/$H14)-(สมมติฐาน!$C$26*(S$19&gt;=สมมติฐาน!$D$26)+$F14*(S$19&gt;=สมมติฐาน!$D$27)+สมมติฐาน!$C$28*(S$19&gt;=สมมติฐาน!$D$28)+$G14*(S$19&gt;=สมมติฐาน!$D$29))</f>
        <v>-670000</v>
      </c>
      <c r="T28" s="17" t="n">
        <f aca="false">สมมติฐาน!$C$15+$C14*(T$19&gt;=สมมติฐาน!$C$13)+$D14*(T$19&gt;=$E14)-IF($H14=0,สมมติฐาน!$C$21*T$19,สมมติฐาน!$C$21*((1+$H14)^T$19-1)/$H14)-(สมมติฐาน!$C$26*(T$19&gt;=สมมติฐาน!$D$26)+$F14*(T$19&gt;=สมมติฐาน!$D$27)+สมมติฐาน!$C$28*(T$19&gt;=สมมติฐาน!$D$28)+$G14*(T$19&gt;=สมมติฐาน!$D$29))</f>
        <v>-820000</v>
      </c>
      <c r="U28" s="17" t="n">
        <f aca="false">สมมติฐาน!$C$15+$C14*(U$19&gt;=สมมติฐาน!$C$13)+$D14*(U$19&gt;=$E14)-IF($H14=0,สมมติฐาน!$C$21*U$19,สมมติฐาน!$C$21*((1+$H14)^U$19-1)/$H14)-(สมมติฐาน!$C$26*(U$19&gt;=สมมติฐาน!$D$26)+$F14*(U$19&gt;=สมมติฐาน!$D$27)+สมมติฐาน!$C$28*(U$19&gt;=สมมติฐาน!$D$28)+$G14*(U$19&gt;=สมมติฐาน!$D$29))</f>
        <v>-970000</v>
      </c>
      <c r="V28" s="17" t="n">
        <f aca="false">สมมติฐาน!$C$15+$C14*(V$19&gt;=สมมติฐาน!$C$13)+$D14*(V$19&gt;=$E14)-IF($H14=0,สมมติฐาน!$C$21*V$19,สมมติฐาน!$C$21*((1+$H14)^V$19-1)/$H14)-(สมมติฐาน!$C$26*(V$19&gt;=สมมติฐาน!$D$26)+$F14*(V$19&gt;=สมมติฐาน!$D$27)+สมมติฐาน!$C$28*(V$19&gt;=สมมติฐาน!$D$28)+$G14*(V$19&gt;=สมมติฐาน!$D$29))</f>
        <v>-1120000</v>
      </c>
      <c r="W28" s="17" t="n">
        <f aca="false">สมมติฐาน!$C$15+$C14*(W$19&gt;=สมมติฐาน!$C$13)+$D14*(W$19&gt;=$E14)-IF($H14=0,สมมติฐาน!$C$21*W$19,สมมติฐาน!$C$21*((1+$H14)^W$19-1)/$H14)-(สมมติฐาน!$C$26*(W$19&gt;=สมมติฐาน!$D$26)+$F14*(W$19&gt;=สมมติฐาน!$D$27)+สมมติฐาน!$C$28*(W$19&gt;=สมมติฐาน!$D$28)+$G14*(W$19&gt;=สมมติฐาน!$D$29))</f>
        <v>-1270000</v>
      </c>
      <c r="X28" s="17" t="n">
        <f aca="false">สมมติฐาน!$C$15+$C14*(X$19&gt;=สมมติฐาน!$C$13)+$D14*(X$19&gt;=$E14)-IF($H14=0,สมมติฐาน!$C$21*X$19,สมมติฐาน!$C$21*((1+$H14)^X$19-1)/$H14)-(สมมติฐาน!$C$26*(X$19&gt;=สมมติฐาน!$D$26)+$F14*(X$19&gt;=สมมติฐาน!$D$27)+สมมติฐาน!$C$28*(X$19&gt;=สมมติฐาน!$D$28)+$G14*(X$19&gt;=สมมติฐาน!$D$29))</f>
        <v>-1420000</v>
      </c>
      <c r="Y28" s="17" t="n">
        <f aca="false">สมมติฐาน!$C$15+$C14*(Y$19&gt;=สมมติฐาน!$C$13)+$D14*(Y$19&gt;=$E14)-IF($H14=0,สมมติฐาน!$C$21*Y$19,สมมติฐาน!$C$21*((1+$H14)^Y$19-1)/$H14)-(สมมติฐาน!$C$26*(Y$19&gt;=สมมติฐาน!$D$26)+$F14*(Y$19&gt;=สมมติฐาน!$D$27)+สมมติฐาน!$C$28*(Y$19&gt;=สมมติฐาน!$D$28)+$G14*(Y$19&gt;=สมมติฐาน!$D$29))</f>
        <v>-1570000</v>
      </c>
      <c r="Z28" s="17" t="n">
        <f aca="false">สมมติฐาน!$C$15+$C14*(Z$19&gt;=สมมติฐาน!$C$13)+$D14*(Z$19&gt;=$E14)-IF($H14=0,สมมติฐาน!$C$21*Z$19,สมมติฐาน!$C$21*((1+$H14)^Z$19-1)/$H14)-(สมมติฐาน!$C$26*(Z$19&gt;=สมมติฐาน!$D$26)+$F14*(Z$19&gt;=สมมติฐาน!$D$27)+สมมติฐาน!$C$28*(Z$19&gt;=สมมติฐาน!$D$28)+$G14*(Z$19&gt;=สมมติฐาน!$D$29))</f>
        <v>-1720000</v>
      </c>
    </row>
    <row r="29" customFormat="false" ht="15" hidden="false" customHeight="false" outlineLevel="0" collapsed="false">
      <c r="B29" s="4" t="str">
        <f aca="false">B15</f>
        <v>Pen-test 900,000 + งวดที่ 2 ล่าช้า 1 เดือน</v>
      </c>
      <c r="C29" s="17" t="n">
        <f aca="false">สมมติฐาน!$C$15+$C15*(C$19&gt;=สมมติฐาน!$C$13)+$D15*(C$19&gt;=$E15)-IF($H15=0,สมมติฐาน!$C$21*C$19,สมมติฐาน!$C$21*((1+$H15)^C$19-1)/$H15)-(สมมติฐาน!$C$26*(C$19&gt;=สมมติฐาน!$D$26)+$F15*(C$19&gt;=สมมติฐาน!$D$27)+สมมติฐาน!$C$28*(C$19&gt;=สมมติฐาน!$D$28)+$G15*(C$19&gt;=สมมติฐาน!$D$29))</f>
        <v>1730000</v>
      </c>
      <c r="D29" s="17" t="n">
        <f aca="false">สมมติฐาน!$C$15+$C15*(D$19&gt;=สมมติฐาน!$C$13)+$D15*(D$19&gt;=$E15)-IF($H15=0,สมมติฐาน!$C$21*D$19,สมมติฐาน!$C$21*((1+$H15)^D$19-1)/$H15)-(สมมติฐาน!$C$26*(D$19&gt;=สมมติฐาน!$D$26)+$F15*(D$19&gt;=สมมติฐาน!$D$27)+สมมติฐาน!$C$28*(D$19&gt;=สมมติฐาน!$D$28)+$G15*(D$19&gt;=สมมติฐาน!$D$29))</f>
        <v>680000</v>
      </c>
      <c r="E29" s="17" t="n">
        <f aca="false">สมมติฐาน!$C$15+$C15*(E$19&gt;=สมมติฐาน!$C$13)+$D15*(E$19&gt;=$E15)-IF($H15=0,สมมติฐาน!$C$21*E$19,สมมติฐาน!$C$21*((1+$H15)^E$19-1)/$H15)-(สมมติฐาน!$C$26*(E$19&gt;=สมมติฐาน!$D$26)+$F15*(E$19&gt;=สมมติฐาน!$D$27)+สมมติฐาน!$C$28*(E$19&gt;=สมมติฐาน!$D$28)+$G15*(E$19&gt;=สมมติฐาน!$D$29))</f>
        <v>530000</v>
      </c>
      <c r="F29" s="17" t="n">
        <f aca="false">สมมติฐาน!$C$15+$C15*(F$19&gt;=สมมติฐาน!$C$13)+$D15*(F$19&gt;=$E15)-IF($H15=0,สมมติฐาน!$C$21*F$19,สมมติฐาน!$C$21*((1+$H15)^F$19-1)/$H15)-(สมมติฐาน!$C$26*(F$19&gt;=สมมติฐาน!$D$26)+$F15*(F$19&gt;=สมมติฐาน!$D$27)+สมมติฐาน!$C$28*(F$19&gt;=สมมติฐาน!$D$28)+$G15*(F$19&gt;=สมมติฐาน!$D$29))</f>
        <v>380000</v>
      </c>
      <c r="G29" s="17" t="n">
        <f aca="false">สมมติฐาน!$C$15+$C15*(G$19&gt;=สมมติฐาน!$C$13)+$D15*(G$19&gt;=$E15)-IF($H15=0,สมมติฐาน!$C$21*G$19,สมมติฐาน!$C$21*((1+$H15)^G$19-1)/$H15)-(สมมติฐาน!$C$26*(G$19&gt;=สมมติฐาน!$D$26)+$F15*(G$19&gt;=สมมติฐาน!$D$27)+สมมติฐาน!$C$28*(G$19&gt;=สมมติฐาน!$D$28)+$G15*(G$19&gt;=สมมติฐาน!$D$29))</f>
        <v>230000</v>
      </c>
      <c r="H29" s="17" t="n">
        <f aca="false">สมมติฐาน!$C$15+$C15*(H$19&gt;=สมมติฐาน!$C$13)+$D15*(H$19&gt;=$E15)-IF($H15=0,สมมติฐาน!$C$21*H$19,สมมติฐาน!$C$21*((1+$H15)^H$19-1)/$H15)-(สมมติฐาน!$C$26*(H$19&gt;=สมมติฐาน!$D$26)+$F15*(H$19&gt;=สมมติฐาน!$D$27)+สมมติฐาน!$C$28*(H$19&gt;=สมมติฐาน!$D$28)+$G15*(H$19&gt;=สมมติฐาน!$D$29))</f>
        <v>-70000</v>
      </c>
      <c r="I29" s="17" t="n">
        <f aca="false">สมมติฐาน!$C$15+$C15*(I$19&gt;=สมมติฐาน!$C$13)+$D15*(I$19&gt;=$E15)-IF($H15=0,สมมติฐาน!$C$21*I$19,สมมติฐาน!$C$21*((1+$H15)^I$19-1)/$H15)-(สมมติฐาน!$C$26*(I$19&gt;=สมมติฐาน!$D$26)+$F15*(I$19&gt;=สมมติฐาน!$D$27)+สมมติฐาน!$C$28*(I$19&gt;=สมมติฐาน!$D$28)+$G15*(I$19&gt;=สมมติฐาน!$D$29))</f>
        <v>-220000</v>
      </c>
      <c r="J29" s="17" t="n">
        <f aca="false">สมมติฐาน!$C$15+$C15*(J$19&gt;=สมมติฐาน!$C$13)+$D15*(J$19&gt;=$E15)-IF($H15=0,สมมติฐาน!$C$21*J$19,สมมติฐาน!$C$21*((1+$H15)^J$19-1)/$H15)-(สมมติฐาน!$C$26*(J$19&gt;=สมมติฐาน!$D$26)+$F15*(J$19&gt;=สมมติฐาน!$D$27)+สมมติฐาน!$C$28*(J$19&gt;=สมมติฐาน!$D$28)+$G15*(J$19&gt;=สมมติฐาน!$D$29))</f>
        <v>630000</v>
      </c>
      <c r="K29" s="17" t="n">
        <f aca="false">สมมติฐาน!$C$15+$C15*(K$19&gt;=สมมติฐาน!$C$13)+$D15*(K$19&gt;=$E15)-IF($H15=0,สมมติฐาน!$C$21*K$19,สมมติฐาน!$C$21*((1+$H15)^K$19-1)/$H15)-(สมมติฐาน!$C$26*(K$19&gt;=สมมติฐาน!$D$26)+$F15*(K$19&gt;=สมมติฐาน!$D$27)+สมมติฐาน!$C$28*(K$19&gt;=สมมติฐาน!$D$28)+$G15*(K$19&gt;=สมมติฐาน!$D$29))</f>
        <v>240000</v>
      </c>
      <c r="L29" s="17" t="n">
        <f aca="false">สมมติฐาน!$C$15+$C15*(L$19&gt;=สมมติฐาน!$C$13)+$D15*(L$19&gt;=$E15)-IF($H15=0,สมมติฐาน!$C$21*L$19,สมมติฐาน!$C$21*((1+$H15)^L$19-1)/$H15)-(สมมติฐาน!$C$26*(L$19&gt;=สมมติฐาน!$D$26)+$F15*(L$19&gt;=สมมติฐาน!$D$27)+สมมติฐาน!$C$28*(L$19&gt;=สมมติฐาน!$D$28)+$G15*(L$19&gt;=สมมติฐาน!$D$29))</f>
        <v>90000</v>
      </c>
      <c r="M29" s="17" t="n">
        <f aca="false">สมมติฐาน!$C$15+$C15*(M$19&gt;=สมมติฐาน!$C$13)+$D15*(M$19&gt;=$E15)-IF($H15=0,สมมติฐาน!$C$21*M$19,สมมติฐาน!$C$21*((1+$H15)^M$19-1)/$H15)-(สมมติฐาน!$C$26*(M$19&gt;=สมมติฐาน!$D$26)+$F15*(M$19&gt;=สมมติฐาน!$D$27)+สมมติฐาน!$C$28*(M$19&gt;=สมมติฐาน!$D$28)+$G15*(M$19&gt;=สมมติฐาน!$D$29))</f>
        <v>-60000</v>
      </c>
      <c r="N29" s="17" t="n">
        <f aca="false">สมมติฐาน!$C$15+$C15*(N$19&gt;=สมมติฐาน!$C$13)+$D15*(N$19&gt;=$E15)-IF($H15=0,สมมติฐาน!$C$21*N$19,สมมติฐาน!$C$21*((1+$H15)^N$19-1)/$H15)-(สมมติฐาน!$C$26*(N$19&gt;=สมมติฐาน!$D$26)+$F15*(N$19&gt;=สมมติฐาน!$D$27)+สมมติฐาน!$C$28*(N$19&gt;=สมมติฐาน!$D$28)+$G15*(N$19&gt;=สมมติฐาน!$D$29))</f>
        <v>-210000</v>
      </c>
      <c r="O29" s="17" t="n">
        <f aca="false">สมมติฐาน!$C$15+$C15*(O$19&gt;=สมมติฐาน!$C$13)+$D15*(O$19&gt;=$E15)-IF($H15=0,สมมติฐาน!$C$21*O$19,สมมติฐาน!$C$21*((1+$H15)^O$19-1)/$H15)-(สมมติฐาน!$C$26*(O$19&gt;=สมมติฐาน!$D$26)+$F15*(O$19&gt;=สมมติฐาน!$D$27)+สมมติฐาน!$C$28*(O$19&gt;=สมมติฐาน!$D$28)+$G15*(O$19&gt;=สมมติฐาน!$D$29))</f>
        <v>-360000</v>
      </c>
      <c r="P29" s="17" t="n">
        <f aca="false">สมมติฐาน!$C$15+$C15*(P$19&gt;=สมมติฐาน!$C$13)+$D15*(P$19&gt;=$E15)-IF($H15=0,สมมติฐาน!$C$21*P$19,สมมติฐาน!$C$21*((1+$H15)^P$19-1)/$H15)-(สมมติฐาน!$C$26*(P$19&gt;=สมมติฐาน!$D$26)+$F15*(P$19&gt;=สมมติฐาน!$D$27)+สมมติฐาน!$C$28*(P$19&gt;=สมมติฐาน!$D$28)+$G15*(P$19&gt;=สมมติฐาน!$D$29))</f>
        <v>-510000</v>
      </c>
      <c r="Q29" s="17" t="n">
        <f aca="false">สมมติฐาน!$C$15+$C15*(Q$19&gt;=สมมติฐาน!$C$13)+$D15*(Q$19&gt;=$E15)-IF($H15=0,สมมติฐาน!$C$21*Q$19,สมมติฐาน!$C$21*((1+$H15)^Q$19-1)/$H15)-(สมมติฐาน!$C$26*(Q$19&gt;=สมมติฐาน!$D$26)+$F15*(Q$19&gt;=สมมติฐาน!$D$27)+สมมติฐาน!$C$28*(Q$19&gt;=สมมติฐาน!$D$28)+$G15*(Q$19&gt;=สมมติฐาน!$D$29))</f>
        <v>-660000</v>
      </c>
      <c r="R29" s="17" t="n">
        <f aca="false">สมมติฐาน!$C$15+$C15*(R$19&gt;=สมมติฐาน!$C$13)+$D15*(R$19&gt;=$E15)-IF($H15=0,สมมติฐาน!$C$21*R$19,สมมติฐาน!$C$21*((1+$H15)^R$19-1)/$H15)-(สมมติฐาน!$C$26*(R$19&gt;=สมมติฐาน!$D$26)+$F15*(R$19&gt;=สมมติฐาน!$D$27)+สมมติฐาน!$C$28*(R$19&gt;=สมมติฐาน!$D$28)+$G15*(R$19&gt;=สมมติฐาน!$D$29))</f>
        <v>-810000</v>
      </c>
      <c r="S29" s="17" t="n">
        <f aca="false">สมมติฐาน!$C$15+$C15*(S$19&gt;=สมมติฐาน!$C$13)+$D15*(S$19&gt;=$E15)-IF($H15=0,สมมติฐาน!$C$21*S$19,สมมติฐาน!$C$21*((1+$H15)^S$19-1)/$H15)-(สมมติฐาน!$C$26*(S$19&gt;=สมมติฐาน!$D$26)+$F15*(S$19&gt;=สมมติฐาน!$D$27)+สมมติฐาน!$C$28*(S$19&gt;=สมมติฐาน!$D$28)+$G15*(S$19&gt;=สมมติฐาน!$D$29))</f>
        <v>-960000</v>
      </c>
      <c r="T29" s="17" t="n">
        <f aca="false">สมมติฐาน!$C$15+$C15*(T$19&gt;=สมมติฐาน!$C$13)+$D15*(T$19&gt;=$E15)-IF($H15=0,สมมติฐาน!$C$21*T$19,สมมติฐาน!$C$21*((1+$H15)^T$19-1)/$H15)-(สมมติฐาน!$C$26*(T$19&gt;=สมมติฐาน!$D$26)+$F15*(T$19&gt;=สมมติฐาน!$D$27)+สมมติฐาน!$C$28*(T$19&gt;=สมมติฐาน!$D$28)+$G15*(T$19&gt;=สมมติฐาน!$D$29))</f>
        <v>-1110000</v>
      </c>
      <c r="U29" s="17" t="n">
        <f aca="false">สมมติฐาน!$C$15+$C15*(U$19&gt;=สมมติฐาน!$C$13)+$D15*(U$19&gt;=$E15)-IF($H15=0,สมมติฐาน!$C$21*U$19,สมมติฐาน!$C$21*((1+$H15)^U$19-1)/$H15)-(สมมติฐาน!$C$26*(U$19&gt;=สมมติฐาน!$D$26)+$F15*(U$19&gt;=สมมติฐาน!$D$27)+สมมติฐาน!$C$28*(U$19&gt;=สมมติฐาน!$D$28)+$G15*(U$19&gt;=สมมติฐาน!$D$29))</f>
        <v>-1260000</v>
      </c>
      <c r="V29" s="17" t="n">
        <f aca="false">สมมติฐาน!$C$15+$C15*(V$19&gt;=สมมติฐาน!$C$13)+$D15*(V$19&gt;=$E15)-IF($H15=0,สมมติฐาน!$C$21*V$19,สมมติฐาน!$C$21*((1+$H15)^V$19-1)/$H15)-(สมมติฐาน!$C$26*(V$19&gt;=สมมติฐาน!$D$26)+$F15*(V$19&gt;=สมมติฐาน!$D$27)+สมมติฐาน!$C$28*(V$19&gt;=สมมติฐาน!$D$28)+$G15*(V$19&gt;=สมมติฐาน!$D$29))</f>
        <v>-1410000</v>
      </c>
      <c r="W29" s="17" t="n">
        <f aca="false">สมมติฐาน!$C$15+$C15*(W$19&gt;=สมมติฐาน!$C$13)+$D15*(W$19&gt;=$E15)-IF($H15=0,สมมติฐาน!$C$21*W$19,สมมติฐาน!$C$21*((1+$H15)^W$19-1)/$H15)-(สมมติฐาน!$C$26*(W$19&gt;=สมมติฐาน!$D$26)+$F15*(W$19&gt;=สมมติฐาน!$D$27)+สมมติฐาน!$C$28*(W$19&gt;=สมมติฐาน!$D$28)+$G15*(W$19&gt;=สมมติฐาน!$D$29))</f>
        <v>-1560000</v>
      </c>
      <c r="X29" s="17" t="n">
        <f aca="false">สมมติฐาน!$C$15+$C15*(X$19&gt;=สมมติฐาน!$C$13)+$D15*(X$19&gt;=$E15)-IF($H15=0,สมมติฐาน!$C$21*X$19,สมมติฐาน!$C$21*((1+$H15)^X$19-1)/$H15)-(สมมติฐาน!$C$26*(X$19&gt;=สมมติฐาน!$D$26)+$F15*(X$19&gt;=สมมติฐาน!$D$27)+สมมติฐาน!$C$28*(X$19&gt;=สมมติฐาน!$D$28)+$G15*(X$19&gt;=สมมติฐาน!$D$29))</f>
        <v>-1710000</v>
      </c>
      <c r="Y29" s="17" t="n">
        <f aca="false">สมมติฐาน!$C$15+$C15*(Y$19&gt;=สมมติฐาน!$C$13)+$D15*(Y$19&gt;=$E15)-IF($H15=0,สมมติฐาน!$C$21*Y$19,สมมติฐาน!$C$21*((1+$H15)^Y$19-1)/$H15)-(สมมติฐาน!$C$26*(Y$19&gt;=สมมติฐาน!$D$26)+$F15*(Y$19&gt;=สมมติฐาน!$D$27)+สมมติฐาน!$C$28*(Y$19&gt;=สมมติฐาน!$D$28)+$G15*(Y$19&gt;=สมมติฐาน!$D$29))</f>
        <v>-1860000</v>
      </c>
      <c r="Z29" s="17" t="n">
        <f aca="false">สมมติฐาน!$C$15+$C15*(Z$19&gt;=สมมติฐาน!$C$13)+$D15*(Z$19&gt;=$E15)-IF($H15=0,สมมติฐาน!$C$21*Z$19,สมมติฐาน!$C$21*((1+$H15)^Z$19-1)/$H15)-(สมมติฐาน!$C$26*(Z$19&gt;=สมมติฐาน!$D$26)+$F15*(Z$19&gt;=สมมติฐาน!$D$27)+สมมติฐาน!$C$28*(Z$19&gt;=สมมติฐาน!$D$28)+$G15*(Z$19&gt;=สมมติฐาน!$D$29))</f>
        <v>-2010000</v>
      </c>
    </row>
    <row r="32" customFormat="false" ht="15" hidden="false" customHeight="false" outlineLevel="0" collapsed="false">
      <c r="B32" s="5" t="s">
        <v>185</v>
      </c>
    </row>
    <row r="33" customFormat="false" ht="15" hidden="false" customHeight="false" outlineLevel="0" collapsed="false">
      <c r="B33" s="5" t="s">
        <v>161</v>
      </c>
      <c r="C33" s="43" t="n">
        <v>1</v>
      </c>
      <c r="D33" s="43" t="n">
        <v>2</v>
      </c>
      <c r="E33" s="43" t="n">
        <v>3</v>
      </c>
      <c r="F33" s="43" t="n">
        <v>4</v>
      </c>
      <c r="G33" s="43" t="n">
        <v>5</v>
      </c>
      <c r="H33" s="43" t="n">
        <v>6</v>
      </c>
      <c r="I33" s="43" t="n">
        <v>7</v>
      </c>
      <c r="J33" s="43" t="n">
        <v>8</v>
      </c>
      <c r="K33" s="43" t="n">
        <v>9</v>
      </c>
      <c r="L33" s="43" t="n">
        <v>10</v>
      </c>
      <c r="M33" s="43" t="n">
        <v>11</v>
      </c>
      <c r="N33" s="43" t="n">
        <v>12</v>
      </c>
      <c r="O33" s="43" t="n">
        <v>13</v>
      </c>
      <c r="P33" s="43" t="n">
        <v>14</v>
      </c>
      <c r="Q33" s="43" t="n">
        <v>15</v>
      </c>
      <c r="R33" s="43" t="n">
        <v>16</v>
      </c>
      <c r="S33" s="43" t="n">
        <v>17</v>
      </c>
      <c r="T33" s="43" t="n">
        <v>18</v>
      </c>
      <c r="U33" s="43" t="n">
        <v>19</v>
      </c>
      <c r="V33" s="43" t="n">
        <v>20</v>
      </c>
      <c r="W33" s="43" t="n">
        <v>21</v>
      </c>
      <c r="X33" s="43" t="n">
        <v>22</v>
      </c>
      <c r="Y33" s="43" t="n">
        <v>23</v>
      </c>
      <c r="Z33" s="43" t="n">
        <v>24</v>
      </c>
    </row>
    <row r="34" customFormat="false" ht="15" hidden="false" customHeight="false" outlineLevel="0" collapsed="false">
      <c r="B34" s="4" t="str">
        <f aca="false">B6</f>
        <v>ฐาน (ตามสมมติฐาน)</v>
      </c>
      <c r="C34" s="44" t="n">
        <f aca="false">IF(C20&lt;0,1,0)</f>
        <v>0</v>
      </c>
      <c r="D34" s="44" t="n">
        <f aca="false">IF(D20&lt;0,1,0)</f>
        <v>0</v>
      </c>
      <c r="E34" s="44" t="n">
        <f aca="false">IF(E20&lt;0,1,0)</f>
        <v>0</v>
      </c>
      <c r="F34" s="44" t="n">
        <f aca="false">IF(F20&lt;0,1,0)</f>
        <v>0</v>
      </c>
      <c r="G34" s="44" t="n">
        <f aca="false">IF(G20&lt;0,1,0)</f>
        <v>0</v>
      </c>
      <c r="H34" s="44" t="n">
        <f aca="false">IF(H20&lt;0,1,0)</f>
        <v>0</v>
      </c>
      <c r="I34" s="44" t="n">
        <f aca="false">IF(I20&lt;0,1,0)</f>
        <v>0</v>
      </c>
      <c r="J34" s="44" t="n">
        <f aca="false">IF(J20&lt;0,1,0)</f>
        <v>0</v>
      </c>
      <c r="K34" s="44" t="n">
        <f aca="false">IF(K20&lt;0,1,0)</f>
        <v>0</v>
      </c>
      <c r="L34" s="44" t="n">
        <f aca="false">IF(L20&lt;0,1,0)</f>
        <v>0</v>
      </c>
      <c r="M34" s="44" t="n">
        <f aca="false">IF(M20&lt;0,1,0)</f>
        <v>0</v>
      </c>
      <c r="N34" s="44" t="n">
        <f aca="false">IF(N20&lt;0,1,0)</f>
        <v>0</v>
      </c>
      <c r="O34" s="44" t="n">
        <f aca="false">IF(O20&lt;0,1,0)</f>
        <v>0</v>
      </c>
      <c r="P34" s="44" t="n">
        <f aca="false">IF(P20&lt;0,1,0)</f>
        <v>1</v>
      </c>
      <c r="Q34" s="44" t="n">
        <f aca="false">IF(Q20&lt;0,1,0)</f>
        <v>1</v>
      </c>
      <c r="R34" s="44" t="n">
        <f aca="false">IF(R20&lt;0,1,0)</f>
        <v>1</v>
      </c>
      <c r="S34" s="44" t="n">
        <f aca="false">IF(S20&lt;0,1,0)</f>
        <v>1</v>
      </c>
      <c r="T34" s="44" t="n">
        <f aca="false">IF(T20&lt;0,1,0)</f>
        <v>1</v>
      </c>
      <c r="U34" s="44" t="n">
        <f aca="false">IF(U20&lt;0,1,0)</f>
        <v>1</v>
      </c>
      <c r="V34" s="44" t="n">
        <f aca="false">IF(V20&lt;0,1,0)</f>
        <v>1</v>
      </c>
      <c r="W34" s="44" t="n">
        <f aca="false">IF(W20&lt;0,1,0)</f>
        <v>1</v>
      </c>
      <c r="X34" s="44" t="n">
        <f aca="false">IF(X20&lt;0,1,0)</f>
        <v>1</v>
      </c>
      <c r="Y34" s="44" t="n">
        <f aca="false">IF(Y20&lt;0,1,0)</f>
        <v>1</v>
      </c>
      <c r="Z34" s="44" t="n">
        <f aca="false">IF(Z20&lt;0,1,0)</f>
        <v>1</v>
      </c>
    </row>
    <row r="35" customFormat="false" ht="15" hidden="false" customHeight="false" outlineLevel="0" collapsed="false">
      <c r="B35" s="4" t="str">
        <f aca="false">B7</f>
        <v>ได้เฉพาะงวดที่ 1 (ไม่ปลดงวดที่ 2)</v>
      </c>
      <c r="C35" s="44" t="n">
        <f aca="false">IF(C21&lt;0,1,0)</f>
        <v>0</v>
      </c>
      <c r="D35" s="44" t="n">
        <f aca="false">IF(D21&lt;0,1,0)</f>
        <v>0</v>
      </c>
      <c r="E35" s="44" t="n">
        <f aca="false">IF(E21&lt;0,1,0)</f>
        <v>0</v>
      </c>
      <c r="F35" s="44" t="n">
        <f aca="false">IF(F21&lt;0,1,0)</f>
        <v>0</v>
      </c>
      <c r="G35" s="44" t="n">
        <f aca="false">IF(G21&lt;0,1,0)</f>
        <v>0</v>
      </c>
      <c r="H35" s="44" t="n">
        <f aca="false">IF(H21&lt;0,1,0)</f>
        <v>0</v>
      </c>
      <c r="I35" s="44" t="n">
        <f aca="false">IF(I21&lt;0,1,0)</f>
        <v>0</v>
      </c>
      <c r="J35" s="44" t="n">
        <f aca="false">IF(J21&lt;0,1,0)</f>
        <v>0</v>
      </c>
      <c r="K35" s="44" t="n">
        <f aca="false">IF(K21&lt;0,1,0)</f>
        <v>1</v>
      </c>
      <c r="L35" s="44" t="n">
        <f aca="false">IF(L21&lt;0,1,0)</f>
        <v>1</v>
      </c>
      <c r="M35" s="44" t="n">
        <f aca="false">IF(M21&lt;0,1,0)</f>
        <v>1</v>
      </c>
      <c r="N35" s="44" t="n">
        <f aca="false">IF(N21&lt;0,1,0)</f>
        <v>1</v>
      </c>
      <c r="O35" s="44" t="n">
        <f aca="false">IF(O21&lt;0,1,0)</f>
        <v>1</v>
      </c>
      <c r="P35" s="44" t="n">
        <f aca="false">IF(P21&lt;0,1,0)</f>
        <v>1</v>
      </c>
      <c r="Q35" s="44" t="n">
        <f aca="false">IF(Q21&lt;0,1,0)</f>
        <v>1</v>
      </c>
      <c r="R35" s="44" t="n">
        <f aca="false">IF(R21&lt;0,1,0)</f>
        <v>1</v>
      </c>
      <c r="S35" s="44" t="n">
        <f aca="false">IF(S21&lt;0,1,0)</f>
        <v>1</v>
      </c>
      <c r="T35" s="44" t="n">
        <f aca="false">IF(T21&lt;0,1,0)</f>
        <v>1</v>
      </c>
      <c r="U35" s="44" t="n">
        <f aca="false">IF(U21&lt;0,1,0)</f>
        <v>1</v>
      </c>
      <c r="V35" s="44" t="n">
        <f aca="false">IF(V21&lt;0,1,0)</f>
        <v>1</v>
      </c>
      <c r="W35" s="44" t="n">
        <f aca="false">IF(W21&lt;0,1,0)</f>
        <v>1</v>
      </c>
      <c r="X35" s="44" t="n">
        <f aca="false">IF(X21&lt;0,1,0)</f>
        <v>1</v>
      </c>
      <c r="Y35" s="44" t="n">
        <f aca="false">IF(Y21&lt;0,1,0)</f>
        <v>1</v>
      </c>
      <c r="Z35" s="44" t="n">
        <f aca="false">IF(Z21&lt;0,1,0)</f>
        <v>1</v>
      </c>
    </row>
    <row r="36" customFormat="false" ht="15" hidden="false" customHeight="false" outlineLevel="0" collapsed="false">
      <c r="B36" s="4" t="str">
        <f aca="false">B8</f>
        <v>งวดที่ 2 ล่าช้า 1 เดือน</v>
      </c>
      <c r="C36" s="44" t="n">
        <f aca="false">IF(C22&lt;0,1,0)</f>
        <v>0</v>
      </c>
      <c r="D36" s="44" t="n">
        <f aca="false">IF(D22&lt;0,1,0)</f>
        <v>0</v>
      </c>
      <c r="E36" s="44" t="n">
        <f aca="false">IF(E22&lt;0,1,0)</f>
        <v>0</v>
      </c>
      <c r="F36" s="44" t="n">
        <f aca="false">IF(F22&lt;0,1,0)</f>
        <v>0</v>
      </c>
      <c r="G36" s="44" t="n">
        <f aca="false">IF(G22&lt;0,1,0)</f>
        <v>0</v>
      </c>
      <c r="H36" s="44" t="n">
        <f aca="false">IF(H22&lt;0,1,0)</f>
        <v>0</v>
      </c>
      <c r="I36" s="44" t="n">
        <f aca="false">IF(I22&lt;0,1,0)</f>
        <v>0</v>
      </c>
      <c r="J36" s="44" t="n">
        <f aca="false">IF(J22&lt;0,1,0)</f>
        <v>0</v>
      </c>
      <c r="K36" s="44" t="n">
        <f aca="false">IF(K22&lt;0,1,0)</f>
        <v>0</v>
      </c>
      <c r="L36" s="44" t="n">
        <f aca="false">IF(L22&lt;0,1,0)</f>
        <v>0</v>
      </c>
      <c r="M36" s="44" t="n">
        <f aca="false">IF(M22&lt;0,1,0)</f>
        <v>0</v>
      </c>
      <c r="N36" s="44" t="n">
        <f aca="false">IF(N22&lt;0,1,0)</f>
        <v>0</v>
      </c>
      <c r="O36" s="44" t="n">
        <f aca="false">IF(O22&lt;0,1,0)</f>
        <v>0</v>
      </c>
      <c r="P36" s="44" t="n">
        <f aca="false">IF(P22&lt;0,1,0)</f>
        <v>1</v>
      </c>
      <c r="Q36" s="44" t="n">
        <f aca="false">IF(Q22&lt;0,1,0)</f>
        <v>1</v>
      </c>
      <c r="R36" s="44" t="n">
        <f aca="false">IF(R22&lt;0,1,0)</f>
        <v>1</v>
      </c>
      <c r="S36" s="44" t="n">
        <f aca="false">IF(S22&lt;0,1,0)</f>
        <v>1</v>
      </c>
      <c r="T36" s="44" t="n">
        <f aca="false">IF(T22&lt;0,1,0)</f>
        <v>1</v>
      </c>
      <c r="U36" s="44" t="n">
        <f aca="false">IF(U22&lt;0,1,0)</f>
        <v>1</v>
      </c>
      <c r="V36" s="44" t="n">
        <f aca="false">IF(V22&lt;0,1,0)</f>
        <v>1</v>
      </c>
      <c r="W36" s="44" t="n">
        <f aca="false">IF(W22&lt;0,1,0)</f>
        <v>1</v>
      </c>
      <c r="X36" s="44" t="n">
        <f aca="false">IF(X22&lt;0,1,0)</f>
        <v>1</v>
      </c>
      <c r="Y36" s="44" t="n">
        <f aca="false">IF(Y22&lt;0,1,0)</f>
        <v>1</v>
      </c>
      <c r="Z36" s="44" t="n">
        <f aca="false">IF(Z22&lt;0,1,0)</f>
        <v>1</v>
      </c>
    </row>
    <row r="37" customFormat="false" ht="15" hidden="false" customHeight="false" outlineLevel="0" collapsed="false">
      <c r="B37" s="4" t="str">
        <f aca="false">B9</f>
        <v>งวดที่ 2 ล่าช้า 2 เดือน</v>
      </c>
      <c r="C37" s="44" t="n">
        <f aca="false">IF(C23&lt;0,1,0)</f>
        <v>0</v>
      </c>
      <c r="D37" s="44" t="n">
        <f aca="false">IF(D23&lt;0,1,0)</f>
        <v>0</v>
      </c>
      <c r="E37" s="44" t="n">
        <f aca="false">IF(E23&lt;0,1,0)</f>
        <v>0</v>
      </c>
      <c r="F37" s="44" t="n">
        <f aca="false">IF(F23&lt;0,1,0)</f>
        <v>0</v>
      </c>
      <c r="G37" s="44" t="n">
        <f aca="false">IF(G23&lt;0,1,0)</f>
        <v>0</v>
      </c>
      <c r="H37" s="44" t="n">
        <f aca="false">IF(H23&lt;0,1,0)</f>
        <v>0</v>
      </c>
      <c r="I37" s="44" t="n">
        <f aca="false">IF(I23&lt;0,1,0)</f>
        <v>0</v>
      </c>
      <c r="J37" s="44" t="n">
        <f aca="false">IF(J23&lt;0,1,0)</f>
        <v>0</v>
      </c>
      <c r="K37" s="44" t="n">
        <f aca="false">IF(K23&lt;0,1,0)</f>
        <v>0</v>
      </c>
      <c r="L37" s="44" t="n">
        <f aca="false">IF(L23&lt;0,1,0)</f>
        <v>0</v>
      </c>
      <c r="M37" s="44" t="n">
        <f aca="false">IF(M23&lt;0,1,0)</f>
        <v>0</v>
      </c>
      <c r="N37" s="44" t="n">
        <f aca="false">IF(N23&lt;0,1,0)</f>
        <v>0</v>
      </c>
      <c r="O37" s="44" t="n">
        <f aca="false">IF(O23&lt;0,1,0)</f>
        <v>0</v>
      </c>
      <c r="P37" s="44" t="n">
        <f aca="false">IF(P23&lt;0,1,0)</f>
        <v>1</v>
      </c>
      <c r="Q37" s="44" t="n">
        <f aca="false">IF(Q23&lt;0,1,0)</f>
        <v>1</v>
      </c>
      <c r="R37" s="44" t="n">
        <f aca="false">IF(R23&lt;0,1,0)</f>
        <v>1</v>
      </c>
      <c r="S37" s="44" t="n">
        <f aca="false">IF(S23&lt;0,1,0)</f>
        <v>1</v>
      </c>
      <c r="T37" s="44" t="n">
        <f aca="false">IF(T23&lt;0,1,0)</f>
        <v>1</v>
      </c>
      <c r="U37" s="44" t="n">
        <f aca="false">IF(U23&lt;0,1,0)</f>
        <v>1</v>
      </c>
      <c r="V37" s="44" t="n">
        <f aca="false">IF(V23&lt;0,1,0)</f>
        <v>1</v>
      </c>
      <c r="W37" s="44" t="n">
        <f aca="false">IF(W23&lt;0,1,0)</f>
        <v>1</v>
      </c>
      <c r="X37" s="44" t="n">
        <f aca="false">IF(X23&lt;0,1,0)</f>
        <v>1</v>
      </c>
      <c r="Y37" s="44" t="n">
        <f aca="false">IF(Y23&lt;0,1,0)</f>
        <v>1</v>
      </c>
      <c r="Z37" s="44" t="n">
        <f aca="false">IF(Z23&lt;0,1,0)</f>
        <v>1</v>
      </c>
    </row>
    <row r="38" customFormat="false" ht="15" hidden="false" customHeight="false" outlineLevel="0" collapsed="false">
      <c r="B38" s="4" t="str">
        <f aca="false">B10</f>
        <v>Pen-test 700,000</v>
      </c>
      <c r="C38" s="44" t="n">
        <f aca="false">IF(C24&lt;0,1,0)</f>
        <v>0</v>
      </c>
      <c r="D38" s="44" t="n">
        <f aca="false">IF(D24&lt;0,1,0)</f>
        <v>0</v>
      </c>
      <c r="E38" s="44" t="n">
        <f aca="false">IF(E24&lt;0,1,0)</f>
        <v>0</v>
      </c>
      <c r="F38" s="44" t="n">
        <f aca="false">IF(F24&lt;0,1,0)</f>
        <v>0</v>
      </c>
      <c r="G38" s="44" t="n">
        <f aca="false">IF(G24&lt;0,1,0)</f>
        <v>0</v>
      </c>
      <c r="H38" s="44" t="n">
        <f aca="false">IF(H24&lt;0,1,0)</f>
        <v>0</v>
      </c>
      <c r="I38" s="44" t="n">
        <f aca="false">IF(I24&lt;0,1,0)</f>
        <v>0</v>
      </c>
      <c r="J38" s="44" t="n">
        <f aca="false">IF(J24&lt;0,1,0)</f>
        <v>0</v>
      </c>
      <c r="K38" s="44" t="n">
        <f aca="false">IF(K24&lt;0,1,0)</f>
        <v>0</v>
      </c>
      <c r="L38" s="44" t="n">
        <f aca="false">IF(L24&lt;0,1,0)</f>
        <v>0</v>
      </c>
      <c r="M38" s="44" t="n">
        <f aca="false">IF(M24&lt;0,1,0)</f>
        <v>0</v>
      </c>
      <c r="N38" s="44" t="n">
        <f aca="false">IF(N24&lt;0,1,0)</f>
        <v>1</v>
      </c>
      <c r="O38" s="44" t="n">
        <f aca="false">IF(O24&lt;0,1,0)</f>
        <v>1</v>
      </c>
      <c r="P38" s="44" t="n">
        <f aca="false">IF(P24&lt;0,1,0)</f>
        <v>1</v>
      </c>
      <c r="Q38" s="44" t="n">
        <f aca="false">IF(Q24&lt;0,1,0)</f>
        <v>1</v>
      </c>
      <c r="R38" s="44" t="n">
        <f aca="false">IF(R24&lt;0,1,0)</f>
        <v>1</v>
      </c>
      <c r="S38" s="44" t="n">
        <f aca="false">IF(S24&lt;0,1,0)</f>
        <v>1</v>
      </c>
      <c r="T38" s="44" t="n">
        <f aca="false">IF(T24&lt;0,1,0)</f>
        <v>1</v>
      </c>
      <c r="U38" s="44" t="n">
        <f aca="false">IF(U24&lt;0,1,0)</f>
        <v>1</v>
      </c>
      <c r="V38" s="44" t="n">
        <f aca="false">IF(V24&lt;0,1,0)</f>
        <v>1</v>
      </c>
      <c r="W38" s="44" t="n">
        <f aca="false">IF(W24&lt;0,1,0)</f>
        <v>1</v>
      </c>
      <c r="X38" s="44" t="n">
        <f aca="false">IF(X24&lt;0,1,0)</f>
        <v>1</v>
      </c>
      <c r="Y38" s="44" t="n">
        <f aca="false">IF(Y24&lt;0,1,0)</f>
        <v>1</v>
      </c>
      <c r="Z38" s="44" t="n">
        <f aca="false">IF(Z24&lt;0,1,0)</f>
        <v>1</v>
      </c>
    </row>
    <row r="39" customFormat="false" ht="15" hidden="false" customHeight="false" outlineLevel="0" collapsed="false">
      <c r="B39" s="4" t="str">
        <f aca="false">B11</f>
        <v>Pen-test 830,000 (เงินสดเดือน 6 ≈ 0)</v>
      </c>
      <c r="C39" s="44" t="n">
        <f aca="false">IF(C25&lt;0,1,0)</f>
        <v>0</v>
      </c>
      <c r="D39" s="44" t="n">
        <f aca="false">IF(D25&lt;0,1,0)</f>
        <v>0</v>
      </c>
      <c r="E39" s="44" t="n">
        <f aca="false">IF(E25&lt;0,1,0)</f>
        <v>0</v>
      </c>
      <c r="F39" s="44" t="n">
        <f aca="false">IF(F25&lt;0,1,0)</f>
        <v>0</v>
      </c>
      <c r="G39" s="44" t="n">
        <f aca="false">IF(G25&lt;0,1,0)</f>
        <v>0</v>
      </c>
      <c r="H39" s="44" t="n">
        <f aca="false">IF(H25&lt;0,1,0)</f>
        <v>0</v>
      </c>
      <c r="I39" s="44" t="n">
        <f aca="false">IF(I25&lt;0,1,0)</f>
        <v>0</v>
      </c>
      <c r="J39" s="44" t="n">
        <f aca="false">IF(J25&lt;0,1,0)</f>
        <v>0</v>
      </c>
      <c r="K39" s="44" t="n">
        <f aca="false">IF(K25&lt;0,1,0)</f>
        <v>0</v>
      </c>
      <c r="L39" s="44" t="n">
        <f aca="false">IF(L25&lt;0,1,0)</f>
        <v>0</v>
      </c>
      <c r="M39" s="44" t="n">
        <f aca="false">IF(M25&lt;0,1,0)</f>
        <v>0</v>
      </c>
      <c r="N39" s="44" t="n">
        <f aca="false">IF(N25&lt;0,1,0)</f>
        <v>1</v>
      </c>
      <c r="O39" s="44" t="n">
        <f aca="false">IF(O25&lt;0,1,0)</f>
        <v>1</v>
      </c>
      <c r="P39" s="44" t="n">
        <f aca="false">IF(P25&lt;0,1,0)</f>
        <v>1</v>
      </c>
      <c r="Q39" s="44" t="n">
        <f aca="false">IF(Q25&lt;0,1,0)</f>
        <v>1</v>
      </c>
      <c r="R39" s="44" t="n">
        <f aca="false">IF(R25&lt;0,1,0)</f>
        <v>1</v>
      </c>
      <c r="S39" s="44" t="n">
        <f aca="false">IF(S25&lt;0,1,0)</f>
        <v>1</v>
      </c>
      <c r="T39" s="44" t="n">
        <f aca="false">IF(T25&lt;0,1,0)</f>
        <v>1</v>
      </c>
      <c r="U39" s="44" t="n">
        <f aca="false">IF(U25&lt;0,1,0)</f>
        <v>1</v>
      </c>
      <c r="V39" s="44" t="n">
        <f aca="false">IF(V25&lt;0,1,0)</f>
        <v>1</v>
      </c>
      <c r="W39" s="44" t="n">
        <f aca="false">IF(W25&lt;0,1,0)</f>
        <v>1</v>
      </c>
      <c r="X39" s="44" t="n">
        <f aca="false">IF(X25&lt;0,1,0)</f>
        <v>1</v>
      </c>
      <c r="Y39" s="44" t="n">
        <f aca="false">IF(Y25&lt;0,1,0)</f>
        <v>1</v>
      </c>
      <c r="Z39" s="44" t="n">
        <f aca="false">IF(Z25&lt;0,1,0)</f>
        <v>1</v>
      </c>
    </row>
    <row r="40" customFormat="false" ht="15" hidden="false" customHeight="false" outlineLevel="0" collapsed="false">
      <c r="B40" s="4" t="str">
        <f aca="false">B12</f>
        <v>Pen-test 900,000</v>
      </c>
      <c r="C40" s="44" t="n">
        <f aca="false">IF(C26&lt;0,1,0)</f>
        <v>0</v>
      </c>
      <c r="D40" s="44" t="n">
        <f aca="false">IF(D26&lt;0,1,0)</f>
        <v>0</v>
      </c>
      <c r="E40" s="44" t="n">
        <f aca="false">IF(E26&lt;0,1,0)</f>
        <v>0</v>
      </c>
      <c r="F40" s="44" t="n">
        <f aca="false">IF(F26&lt;0,1,0)</f>
        <v>0</v>
      </c>
      <c r="G40" s="44" t="n">
        <f aca="false">IF(G26&lt;0,1,0)</f>
        <v>0</v>
      </c>
      <c r="H40" s="44" t="n">
        <f aca="false">IF(H26&lt;0,1,0)</f>
        <v>1</v>
      </c>
      <c r="I40" s="44" t="n">
        <f aca="false">IF(I26&lt;0,1,0)</f>
        <v>0</v>
      </c>
      <c r="J40" s="44" t="n">
        <f aca="false">IF(J26&lt;0,1,0)</f>
        <v>0</v>
      </c>
      <c r="K40" s="44" t="n">
        <f aca="false">IF(K26&lt;0,1,0)</f>
        <v>0</v>
      </c>
      <c r="L40" s="44" t="n">
        <f aca="false">IF(L26&lt;0,1,0)</f>
        <v>0</v>
      </c>
      <c r="M40" s="44" t="n">
        <f aca="false">IF(M26&lt;0,1,0)</f>
        <v>1</v>
      </c>
      <c r="N40" s="44" t="n">
        <f aca="false">IF(N26&lt;0,1,0)</f>
        <v>1</v>
      </c>
      <c r="O40" s="44" t="n">
        <f aca="false">IF(O26&lt;0,1,0)</f>
        <v>1</v>
      </c>
      <c r="P40" s="44" t="n">
        <f aca="false">IF(P26&lt;0,1,0)</f>
        <v>1</v>
      </c>
      <c r="Q40" s="44" t="n">
        <f aca="false">IF(Q26&lt;0,1,0)</f>
        <v>1</v>
      </c>
      <c r="R40" s="44" t="n">
        <f aca="false">IF(R26&lt;0,1,0)</f>
        <v>1</v>
      </c>
      <c r="S40" s="44" t="n">
        <f aca="false">IF(S26&lt;0,1,0)</f>
        <v>1</v>
      </c>
      <c r="T40" s="44" t="n">
        <f aca="false">IF(T26&lt;0,1,0)</f>
        <v>1</v>
      </c>
      <c r="U40" s="44" t="n">
        <f aca="false">IF(U26&lt;0,1,0)</f>
        <v>1</v>
      </c>
      <c r="V40" s="44" t="n">
        <f aca="false">IF(V26&lt;0,1,0)</f>
        <v>1</v>
      </c>
      <c r="W40" s="44" t="n">
        <f aca="false">IF(W26&lt;0,1,0)</f>
        <v>1</v>
      </c>
      <c r="X40" s="44" t="n">
        <f aca="false">IF(X26&lt;0,1,0)</f>
        <v>1</v>
      </c>
      <c r="Y40" s="44" t="n">
        <f aca="false">IF(Y26&lt;0,1,0)</f>
        <v>1</v>
      </c>
      <c r="Z40" s="44" t="n">
        <f aca="false">IF(Z26&lt;0,1,0)</f>
        <v>1</v>
      </c>
    </row>
    <row r="41" customFormat="false" ht="15" hidden="false" customHeight="false" outlineLevel="0" collapsed="false">
      <c r="B41" s="4" t="str">
        <f aca="false">B13</f>
        <v>ค่าใช้จ่ายเพิ่ม 2% ต่อเดือน</v>
      </c>
      <c r="C41" s="44" t="n">
        <f aca="false">IF(C27&lt;0,1,0)</f>
        <v>0</v>
      </c>
      <c r="D41" s="44" t="n">
        <f aca="false">IF(D27&lt;0,1,0)</f>
        <v>0</v>
      </c>
      <c r="E41" s="44" t="n">
        <f aca="false">IF(E27&lt;0,1,0)</f>
        <v>0</v>
      </c>
      <c r="F41" s="44" t="n">
        <f aca="false">IF(F27&lt;0,1,0)</f>
        <v>0</v>
      </c>
      <c r="G41" s="44" t="n">
        <f aca="false">IF(G27&lt;0,1,0)</f>
        <v>0</v>
      </c>
      <c r="H41" s="44" t="n">
        <f aca="false">IF(H27&lt;0,1,0)</f>
        <v>0</v>
      </c>
      <c r="I41" s="44" t="n">
        <f aca="false">IF(I27&lt;0,1,0)</f>
        <v>0</v>
      </c>
      <c r="J41" s="44" t="n">
        <f aca="false">IF(J27&lt;0,1,0)</f>
        <v>0</v>
      </c>
      <c r="K41" s="44" t="n">
        <f aca="false">IF(K27&lt;0,1,0)</f>
        <v>0</v>
      </c>
      <c r="L41" s="44" t="n">
        <f aca="false">IF(L27&lt;0,1,0)</f>
        <v>0</v>
      </c>
      <c r="M41" s="44" t="n">
        <f aca="false">IF(M27&lt;0,1,0)</f>
        <v>0</v>
      </c>
      <c r="N41" s="44" t="n">
        <f aca="false">IF(N27&lt;0,1,0)</f>
        <v>0</v>
      </c>
      <c r="O41" s="44" t="n">
        <f aca="false">IF(O27&lt;0,1,0)</f>
        <v>1</v>
      </c>
      <c r="P41" s="44" t="n">
        <f aca="false">IF(P27&lt;0,1,0)</f>
        <v>1</v>
      </c>
      <c r="Q41" s="44" t="n">
        <f aca="false">IF(Q27&lt;0,1,0)</f>
        <v>1</v>
      </c>
      <c r="R41" s="44" t="n">
        <f aca="false">IF(R27&lt;0,1,0)</f>
        <v>1</v>
      </c>
      <c r="S41" s="44" t="n">
        <f aca="false">IF(S27&lt;0,1,0)</f>
        <v>1</v>
      </c>
      <c r="T41" s="44" t="n">
        <f aca="false">IF(T27&lt;0,1,0)</f>
        <v>1</v>
      </c>
      <c r="U41" s="44" t="n">
        <f aca="false">IF(U27&lt;0,1,0)</f>
        <v>1</v>
      </c>
      <c r="V41" s="44" t="n">
        <f aca="false">IF(V27&lt;0,1,0)</f>
        <v>1</v>
      </c>
      <c r="W41" s="44" t="n">
        <f aca="false">IF(W27&lt;0,1,0)</f>
        <v>1</v>
      </c>
      <c r="X41" s="44" t="n">
        <f aca="false">IF(X27&lt;0,1,0)</f>
        <v>1</v>
      </c>
      <c r="Y41" s="44" t="n">
        <f aca="false">IF(Y27&lt;0,1,0)</f>
        <v>1</v>
      </c>
      <c r="Z41" s="44" t="n">
        <f aca="false">IF(Z27&lt;0,1,0)</f>
        <v>1</v>
      </c>
    </row>
    <row r="42" customFormat="false" ht="15" hidden="false" customHeight="false" outlineLevel="0" collapsed="false">
      <c r="B42" s="4" t="str">
        <f aca="false">B14</f>
        <v>ฮาร์ดแวร์ 400,000</v>
      </c>
      <c r="C42" s="44" t="n">
        <f aca="false">IF(C28&lt;0,1,0)</f>
        <v>0</v>
      </c>
      <c r="D42" s="44" t="n">
        <f aca="false">IF(D28&lt;0,1,0)</f>
        <v>0</v>
      </c>
      <c r="E42" s="44" t="n">
        <f aca="false">IF(E28&lt;0,1,0)</f>
        <v>0</v>
      </c>
      <c r="F42" s="44" t="n">
        <f aca="false">IF(F28&lt;0,1,0)</f>
        <v>0</v>
      </c>
      <c r="G42" s="44" t="n">
        <f aca="false">IF(G28&lt;0,1,0)</f>
        <v>0</v>
      </c>
      <c r="H42" s="44" t="n">
        <f aca="false">IF(H28&lt;0,1,0)</f>
        <v>0</v>
      </c>
      <c r="I42" s="44" t="n">
        <f aca="false">IF(I28&lt;0,1,0)</f>
        <v>0</v>
      </c>
      <c r="J42" s="44" t="n">
        <f aca="false">IF(J28&lt;0,1,0)</f>
        <v>0</v>
      </c>
      <c r="K42" s="44" t="n">
        <f aca="false">IF(K28&lt;0,1,0)</f>
        <v>0</v>
      </c>
      <c r="L42" s="44" t="n">
        <f aca="false">IF(L28&lt;0,1,0)</f>
        <v>0</v>
      </c>
      <c r="M42" s="44" t="n">
        <f aca="false">IF(M28&lt;0,1,0)</f>
        <v>0</v>
      </c>
      <c r="N42" s="44" t="n">
        <f aca="false">IF(N28&lt;0,1,0)</f>
        <v>0</v>
      </c>
      <c r="O42" s="44" t="n">
        <f aca="false">IF(O28&lt;0,1,0)</f>
        <v>1</v>
      </c>
      <c r="P42" s="44" t="n">
        <f aca="false">IF(P28&lt;0,1,0)</f>
        <v>1</v>
      </c>
      <c r="Q42" s="44" t="n">
        <f aca="false">IF(Q28&lt;0,1,0)</f>
        <v>1</v>
      </c>
      <c r="R42" s="44" t="n">
        <f aca="false">IF(R28&lt;0,1,0)</f>
        <v>1</v>
      </c>
      <c r="S42" s="44" t="n">
        <f aca="false">IF(S28&lt;0,1,0)</f>
        <v>1</v>
      </c>
      <c r="T42" s="44" t="n">
        <f aca="false">IF(T28&lt;0,1,0)</f>
        <v>1</v>
      </c>
      <c r="U42" s="44" t="n">
        <f aca="false">IF(U28&lt;0,1,0)</f>
        <v>1</v>
      </c>
      <c r="V42" s="44" t="n">
        <f aca="false">IF(V28&lt;0,1,0)</f>
        <v>1</v>
      </c>
      <c r="W42" s="44" t="n">
        <f aca="false">IF(W28&lt;0,1,0)</f>
        <v>1</v>
      </c>
      <c r="X42" s="44" t="n">
        <f aca="false">IF(X28&lt;0,1,0)</f>
        <v>1</v>
      </c>
      <c r="Y42" s="44" t="n">
        <f aca="false">IF(Y28&lt;0,1,0)</f>
        <v>1</v>
      </c>
      <c r="Z42" s="44" t="n">
        <f aca="false">IF(Z28&lt;0,1,0)</f>
        <v>1</v>
      </c>
    </row>
    <row r="43" customFormat="false" ht="15" hidden="false" customHeight="false" outlineLevel="0" collapsed="false">
      <c r="B43" s="4" t="str">
        <f aca="false">B15</f>
        <v>Pen-test 900,000 + งวดที่ 2 ล่าช้า 1 เดือน</v>
      </c>
      <c r="C43" s="44" t="n">
        <f aca="false">IF(C29&lt;0,1,0)</f>
        <v>0</v>
      </c>
      <c r="D43" s="44" t="n">
        <f aca="false">IF(D29&lt;0,1,0)</f>
        <v>0</v>
      </c>
      <c r="E43" s="44" t="n">
        <f aca="false">IF(E29&lt;0,1,0)</f>
        <v>0</v>
      </c>
      <c r="F43" s="44" t="n">
        <f aca="false">IF(F29&lt;0,1,0)</f>
        <v>0</v>
      </c>
      <c r="G43" s="44" t="n">
        <f aca="false">IF(G29&lt;0,1,0)</f>
        <v>0</v>
      </c>
      <c r="H43" s="44" t="n">
        <f aca="false">IF(H29&lt;0,1,0)</f>
        <v>1</v>
      </c>
      <c r="I43" s="44" t="n">
        <f aca="false">IF(I29&lt;0,1,0)</f>
        <v>1</v>
      </c>
      <c r="J43" s="44" t="n">
        <f aca="false">IF(J29&lt;0,1,0)</f>
        <v>0</v>
      </c>
      <c r="K43" s="44" t="n">
        <f aca="false">IF(K29&lt;0,1,0)</f>
        <v>0</v>
      </c>
      <c r="L43" s="44" t="n">
        <f aca="false">IF(L29&lt;0,1,0)</f>
        <v>0</v>
      </c>
      <c r="M43" s="44" t="n">
        <f aca="false">IF(M29&lt;0,1,0)</f>
        <v>1</v>
      </c>
      <c r="N43" s="44" t="n">
        <f aca="false">IF(N29&lt;0,1,0)</f>
        <v>1</v>
      </c>
      <c r="O43" s="44" t="n">
        <f aca="false">IF(O29&lt;0,1,0)</f>
        <v>1</v>
      </c>
      <c r="P43" s="44" t="n">
        <f aca="false">IF(P29&lt;0,1,0)</f>
        <v>1</v>
      </c>
      <c r="Q43" s="44" t="n">
        <f aca="false">IF(Q29&lt;0,1,0)</f>
        <v>1</v>
      </c>
      <c r="R43" s="44" t="n">
        <f aca="false">IF(R29&lt;0,1,0)</f>
        <v>1</v>
      </c>
      <c r="S43" s="44" t="n">
        <f aca="false">IF(S29&lt;0,1,0)</f>
        <v>1</v>
      </c>
      <c r="T43" s="44" t="n">
        <f aca="false">IF(T29&lt;0,1,0)</f>
        <v>1</v>
      </c>
      <c r="U43" s="44" t="n">
        <f aca="false">IF(U29&lt;0,1,0)</f>
        <v>1</v>
      </c>
      <c r="V43" s="44" t="n">
        <f aca="false">IF(V29&lt;0,1,0)</f>
        <v>1</v>
      </c>
      <c r="W43" s="44" t="n">
        <f aca="false">IF(W29&lt;0,1,0)</f>
        <v>1</v>
      </c>
      <c r="X43" s="44" t="n">
        <f aca="false">IF(X29&lt;0,1,0)</f>
        <v>1</v>
      </c>
      <c r="Y43" s="44" t="n">
        <f aca="false">IF(Y29&lt;0,1,0)</f>
        <v>1</v>
      </c>
      <c r="Z43" s="44" t="n">
        <f aca="false">IF(Z29&lt;0,1,0)</f>
        <v>1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2026-09-30T02:36:54Z</dcterms:created>
  <dc:creator>openpyxl</dc:creator>
  <dc:description/>
  <dc:language>en-US</dc:language>
  <cp:lastModifiedBy/>
  <dcterms:modified xsi:type="dcterms:W3CDTF">2026-09-30T02:36:54Z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